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obre" sheetId="1" r:id="rId5"/>
    <sheet state="hidden" name="Claro" sheetId="2" r:id="rId6"/>
    <sheet state="visible" name="Escuro" sheetId="3" r:id="rId7"/>
    <sheet state="hidden" name="Cor" sheetId="4" r:id="rId8"/>
  </sheets>
  <definedNames>
    <definedName localSheetId="2" name="Incremento_de_Deslocamento">Escuro!$C$7</definedName>
    <definedName localSheetId="3" name="Projeto_Início">Cor!$C$6</definedName>
    <definedName localSheetId="1" name="Incremento_de_Deslocamento">Claro!$C$7</definedName>
    <definedName localSheetId="2" name="Projeto_Início">Escuro!$C$6</definedName>
    <definedName localSheetId="1" name="Projeto_Início">Claro!$C$6</definedName>
    <definedName localSheetId="3" name="Incremento_de_Deslocamento">Cor!$C$7</definedName>
  </definedNames>
  <calcPr/>
</workbook>
</file>

<file path=xl/sharedStrings.xml><?xml version="1.0" encoding="utf-8"?>
<sst xmlns="http://schemas.openxmlformats.org/spreadsheetml/2006/main" count="208" uniqueCount="71">
  <si>
    <t>Criar um diagrama de Gantt 
Introduzir o título deste projeto na célula B2. 
Informação acerca de como utilizar esta folha de trabalho, incluindo instruções para leitores de ecrã e o autor deste livro de cálculo está na folha de cálculo Informações.
Continuar a navegar na coluna A para ouvir mais instruções.</t>
  </si>
  <si>
    <t>TÍTULO DO PROJETO</t>
  </si>
  <si>
    <t>Nome da empresa</t>
  </si>
  <si>
    <t>Legenda:</t>
  </si>
  <si>
    <t>No caminho certo</t>
  </si>
  <si>
    <t>Baixo risco</t>
  </si>
  <si>
    <t>Médio risco</t>
  </si>
  <si>
    <t>Alto risco</t>
  </si>
  <si>
    <t>Não atribuídas</t>
  </si>
  <si>
    <t>Introduzir o nome do Chefe de Fila do Projeto na célula B5. Introduzir a Data de Início do Projeto na célula C6 ou permitir que a fórmula da amostra encontre o menor valor de data da tabela de Dados de Gantt.
Data de Início do Projeto: a etiqueta está na célula B6.</t>
  </si>
  <si>
    <t>Responsável pelo projeto</t>
  </si>
  <si>
    <t>Data de Início do Projeto:</t>
  </si>
  <si>
    <t>Incremento de Deslocamento:</t>
  </si>
  <si>
    <t>Esta linha contém cabeçalhos para o calendário do projeto. B9 até G9 contém informações sobre a agenda. As células I9 até BL9 contêm a primeira letra de cada dia da semana para a data acima desse cabeçalho.
Toda a linha do tempo do projeto é gerada automaticamente.</t>
  </si>
  <si>
    <t>Descrição do marco</t>
  </si>
  <si>
    <t>Categoria</t>
  </si>
  <si>
    <t>Atribuído a</t>
  </si>
  <si>
    <t>Progresso</t>
  </si>
  <si>
    <t>Início</t>
  </si>
  <si>
    <t>Dias</t>
  </si>
  <si>
    <t>Introduzir a informação do projeto iniciando na célula B11 até à célula G11.
Introduzir Descrição do Marco, selecionar uma Categoria, atribuir alguém à tarefa, e introduzir o progresso, data de início, e número de dias para a tarefa começar a fazer gráficos.</t>
  </si>
  <si>
    <t>TÍTULO 1</t>
  </si>
  <si>
    <t>Tarefa 1</t>
  </si>
  <si>
    <t>Objetivo</t>
  </si>
  <si>
    <t>Nome</t>
  </si>
  <si>
    <t>Tarefa 2</t>
  </si>
  <si>
    <t>Marco</t>
  </si>
  <si>
    <t>Tarefa 3</t>
  </si>
  <si>
    <t>Risco Baixo</t>
  </si>
  <si>
    <t>Tarefa 4</t>
  </si>
  <si>
    <t>Tarefa 5</t>
  </si>
  <si>
    <t>Risco Médio</t>
  </si>
  <si>
    <t>TÍTULO 2</t>
  </si>
  <si>
    <t>Risco Elevado</t>
  </si>
  <si>
    <t>Dentro do prazo</t>
  </si>
  <si>
    <t>TÍTULO 3</t>
  </si>
  <si>
    <t>TÍTULO 4</t>
  </si>
  <si>
    <t>Para adicionar mais dados, insira novas linhas ACIMA desta</t>
  </si>
  <si>
    <t>TEMPO CERTO</t>
  </si>
  <si>
    <t>Nome da empresa: EPBJC</t>
  </si>
  <si>
    <t>Responsável pelo projeto: Henrique Pedronho</t>
  </si>
  <si>
    <t>base de dados</t>
  </si>
  <si>
    <t>T1 - MER</t>
  </si>
  <si>
    <t>alexeri0809@gmail.com</t>
  </si>
  <si>
    <t>T2 - ER</t>
  </si>
  <si>
    <t>fredymajor4@gmail.com</t>
  </si>
  <si>
    <t>T3 - Modelo SQL</t>
  </si>
  <si>
    <t>alexeri0809@gmail.com e fredymajor4@gmail.com</t>
  </si>
  <si>
    <t>Relatorio da base de dados</t>
  </si>
  <si>
    <t>todos</t>
  </si>
  <si>
    <t>backend</t>
  </si>
  <si>
    <t>Página Prof.</t>
  </si>
  <si>
    <t>tsm130109@gmail.com</t>
  </si>
  <si>
    <t>T1 - listar prof</t>
  </si>
  <si>
    <t>T2 - remover Prof</t>
  </si>
  <si>
    <t>T3 - add prof.</t>
  </si>
  <si>
    <t>Pagina Turmas</t>
  </si>
  <si>
    <t>T4- add turmas</t>
  </si>
  <si>
    <t>T5</t>
  </si>
  <si>
    <t>T5- listar turmas</t>
  </si>
  <si>
    <t>T6</t>
  </si>
  <si>
    <t>T6- remover turmas</t>
  </si>
  <si>
    <t>Pagina Horários</t>
  </si>
  <si>
    <t>T7- add aulas</t>
  </si>
  <si>
    <t>T8- remover aulas</t>
  </si>
  <si>
    <t>T9- listar aulas</t>
  </si>
  <si>
    <t>frontend</t>
  </si>
  <si>
    <t>T1- Pagina dashboard</t>
  </si>
  <si>
    <t>T2- Pagina professores</t>
  </si>
  <si>
    <t>T3- Pagina turmas</t>
  </si>
  <si>
    <t>T4- Pagina horários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</si>
</sst>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D"/>
    <numFmt numFmtId="166" formatCode="#,##0\ ;\-#,##0\ "/>
  </numFmts>
  <fonts count="29">
    <font>
      <sz val="11.0"/>
      <color rgb="FF000000"/>
      <name val="Calibri"/>
      <scheme val="minor"/>
    </font>
    <font>
      <sz val="20.0"/>
      <color theme="1"/>
      <name val="Calibri"/>
    </font>
    <font>
      <sz val="22.0"/>
      <color theme="1"/>
      <name val="Corbel"/>
    </font>
    <font>
      <b/>
      <sz val="24.0"/>
      <color rgb="FFFFFFFF"/>
      <name val="Calibri"/>
    </font>
    <font/>
    <font>
      <sz val="10.0"/>
      <color theme="1"/>
      <name val="Calibri"/>
    </font>
    <font>
      <sz val="20.0"/>
      <color rgb="FF8E9DEF"/>
      <name val="Calibri"/>
    </font>
    <font>
      <b/>
      <sz val="22.0"/>
      <color theme="1"/>
      <name val="Calibri"/>
    </font>
    <font>
      <sz val="14.0"/>
      <color theme="1"/>
      <name val="Corbel"/>
    </font>
    <font>
      <sz val="11.0"/>
      <color theme="1"/>
      <name val="Calibri"/>
    </font>
    <font>
      <sz val="11.0"/>
      <color rgb="FFFFFFFF"/>
      <name val="Calibri"/>
    </font>
    <font>
      <sz val="11.0"/>
      <color rgb="FF000000"/>
      <name val="Calibri"/>
    </font>
    <font>
      <b/>
      <sz val="26.0"/>
      <color theme="1"/>
      <name val="Calibri"/>
    </font>
    <font>
      <sz val="14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b/>
      <sz val="14.0"/>
      <color rgb="FFFFFFFF"/>
      <name val="Calibri"/>
    </font>
    <font>
      <b/>
      <sz val="14.0"/>
      <color theme="1"/>
      <name val="Calibri"/>
    </font>
    <font>
      <b/>
      <sz val="16.0"/>
      <color rgb="FF000000"/>
      <name val="Calibri"/>
    </font>
    <font>
      <sz val="16.0"/>
      <color rgb="FF000000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b/>
      <sz val="11.0"/>
      <color theme="1"/>
      <name val="Calibri"/>
    </font>
    <font>
      <b/>
      <sz val="26.0"/>
      <color rgb="FFFFFFFF"/>
      <name val="Calibri"/>
    </font>
    <font>
      <sz val="14.0"/>
      <color rgb="FFFFFFFF"/>
      <name val="Calibri"/>
    </font>
    <font>
      <b/>
      <sz val="16.0"/>
      <color rgb="FFFFFFFF"/>
      <name val="Calibri"/>
    </font>
    <font>
      <sz val="14.0"/>
      <color rgb="FF000000"/>
      <name val="Calibri"/>
    </font>
    <font>
      <sz val="10.0"/>
      <color rgb="FFFFFFFF"/>
      <name val="Calibri"/>
    </font>
    <font>
      <b/>
      <sz val="20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05878"/>
        <bgColor rgb="FF005878"/>
      </patternFill>
    </fill>
    <fill>
      <patternFill patternType="solid">
        <fgColor rgb="FFF2F2F2"/>
        <bgColor rgb="FFF2F2F2"/>
      </patternFill>
    </fill>
    <fill>
      <patternFill patternType="solid">
        <fgColor rgb="FF20A472"/>
        <bgColor rgb="FF20A472"/>
      </patternFill>
    </fill>
    <fill>
      <patternFill patternType="solid">
        <fgColor rgb="FF00B0F0"/>
        <bgColor rgb="FF00B0F0"/>
      </patternFill>
    </fill>
    <fill>
      <patternFill patternType="solid">
        <fgColor rgb="FF4868E5"/>
        <bgColor rgb="FF4868E5"/>
      </patternFill>
    </fill>
    <fill>
      <patternFill patternType="solid">
        <fgColor rgb="FF862B99"/>
        <bgColor rgb="FF862B99"/>
      </patternFill>
    </fill>
    <fill>
      <patternFill patternType="solid">
        <fgColor rgb="FFE6E6E6"/>
        <bgColor rgb="FFE6E6E6"/>
      </patternFill>
    </fill>
    <fill>
      <patternFill patternType="solid">
        <fgColor rgb="FFBFBFBF"/>
        <bgColor rgb="FFBFBFBF"/>
      </patternFill>
    </fill>
    <fill>
      <patternFill patternType="solid">
        <fgColor rgb="FF404040"/>
        <bgColor rgb="FF404040"/>
      </patternFill>
    </fill>
    <fill>
      <patternFill patternType="solid">
        <fgColor rgb="FF262626"/>
        <bgColor rgb="FF262626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2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808080"/>
      </bottom>
    </border>
    <border>
      <right style="thin">
        <color rgb="FFA6A6A6"/>
      </right>
    </border>
    <border>
      <left style="thin">
        <color rgb="FFA6A6A6"/>
      </left>
      <right/>
      <top style="thin">
        <color rgb="FF808080"/>
      </top>
      <bottom/>
    </border>
    <border>
      <left/>
      <right/>
      <top style="thin">
        <color rgb="FF808080"/>
      </top>
      <bottom/>
    </border>
    <border>
      <left/>
      <right style="thin">
        <color rgb="FFA6A6A6"/>
      </right>
      <top style="thin">
        <color rgb="FF808080"/>
      </top>
      <bottom/>
    </border>
    <border>
      <left style="thin">
        <color rgb="FFA6A6A6"/>
      </left>
      <right/>
      <top/>
      <bottom/>
    </border>
    <border>
      <left style="thin">
        <color rgb="FFA6A6A6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D9D9D9"/>
      </left>
      <bottom style="thin">
        <color rgb="FFFFFFFF"/>
      </bottom>
    </border>
    <border>
      <left style="thin">
        <color rgb="FF808080"/>
      </left>
      <right/>
      <top/>
      <bottom/>
    </border>
    <border>
      <left/>
      <right style="thin">
        <color rgb="FF808080"/>
      </right>
      <top/>
      <bottom/>
    </border>
    <border>
      <left style="thin">
        <color rgb="FF808080"/>
      </left>
      <right/>
      <top/>
      <bottom style="thin">
        <color rgb="FF808080"/>
      </bottom>
    </border>
    <border>
      <left/>
      <right/>
      <top/>
      <bottom style="thin">
        <color rgb="FF808080"/>
      </bottom>
    </border>
    <border>
      <left/>
      <right style="thin">
        <color rgb="FFA6A6A6"/>
      </right>
      <top/>
      <bottom style="thin">
        <color rgb="FF808080"/>
      </bottom>
    </border>
    <border>
      <left/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1" fillId="2" fontId="1" numFmtId="0" xfId="0" applyAlignment="1" applyBorder="1" applyFill="1" applyFont="1">
      <alignment shrinkToFit="0" vertical="bottom" wrapText="0"/>
    </xf>
    <xf borderId="2" fillId="2" fontId="3" numFmtId="0" xfId="0" applyAlignment="1" applyBorder="1" applyFont="1">
      <alignment horizontal="left" shrinkToFit="0" vertical="center" wrapText="0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3" fontId="6" numFmtId="0" xfId="0" applyAlignment="1" applyBorder="1" applyFont="1">
      <alignment shrinkToFit="0" vertical="bottom" wrapText="0"/>
    </xf>
    <xf borderId="1" fillId="3" fontId="7" numFmtId="0" xfId="0" applyAlignment="1" applyBorder="1" applyFont="1">
      <alignment shrinkToFit="0" vertical="center" wrapText="0"/>
    </xf>
    <xf borderId="2" fillId="3" fontId="8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vertical="top" wrapText="0"/>
    </xf>
    <xf borderId="1" fillId="3" fontId="5" numFmtId="0" xfId="0" applyAlignment="1" applyBorder="1" applyFont="1">
      <alignment shrinkToFit="0" vertical="bottom" wrapText="0"/>
    </xf>
    <xf borderId="1" fillId="3" fontId="9" numFmtId="0" xfId="0" applyAlignment="1" applyBorder="1" applyFont="1">
      <alignment shrinkToFit="0" vertical="bottom" wrapText="1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10" numFmtId="0" xfId="0" applyAlignment="1" applyFont="1">
      <alignment shrinkToFit="0" vertical="bottom" wrapText="1"/>
    </xf>
    <xf borderId="2" fillId="3" fontId="12" numFmtId="0" xfId="0" applyAlignment="1" applyBorder="1" applyFont="1">
      <alignment horizontal="left" shrinkToFit="0" vertical="center" wrapText="0"/>
    </xf>
    <xf borderId="2" fillId="3" fontId="13" numFmtId="0" xfId="0" applyAlignment="1" applyBorder="1" applyFont="1">
      <alignment horizontal="center" shrinkToFit="0" vertical="center" wrapText="0"/>
    </xf>
    <xf borderId="2" fillId="3" fontId="9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shrinkToFit="0" vertical="bottom" wrapText="0"/>
    </xf>
    <xf borderId="0" fillId="0" fontId="7" numFmtId="0" xfId="0" applyAlignment="1" applyFont="1">
      <alignment horizontal="left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13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right" shrinkToFit="0" vertical="center" wrapText="0"/>
    </xf>
    <xf borderId="2" fillId="4" fontId="16" numFmtId="0" xfId="0" applyAlignment="1" applyBorder="1" applyFill="1" applyFont="1">
      <alignment horizontal="center" shrinkToFit="0" vertical="center" wrapText="0"/>
    </xf>
    <xf borderId="2" fillId="5" fontId="16" numFmtId="0" xfId="0" applyAlignment="1" applyBorder="1" applyFill="1" applyFont="1">
      <alignment horizontal="center" shrinkToFit="0" vertical="center" wrapText="0"/>
    </xf>
    <xf borderId="2" fillId="6" fontId="16" numFmtId="0" xfId="0" applyAlignment="1" applyBorder="1" applyFill="1" applyFont="1">
      <alignment horizontal="center" shrinkToFit="0" vertical="center" wrapText="0"/>
    </xf>
    <xf borderId="2" fillId="7" fontId="16" numFmtId="0" xfId="0" applyAlignment="1" applyBorder="1" applyFill="1" applyFont="1">
      <alignment horizontal="center" shrinkToFit="0" vertical="center" wrapText="0"/>
    </xf>
    <xf borderId="2" fillId="8" fontId="17" numFmtId="0" xfId="0" applyAlignment="1" applyBorder="1" applyFill="1" applyFont="1">
      <alignment horizontal="center" shrinkToFit="0" vertical="center" wrapText="0"/>
    </xf>
    <xf borderId="0" fillId="0" fontId="9" numFmtId="164" xfId="0" applyAlignment="1" applyFont="1" applyNumberFormat="1">
      <alignment horizontal="left" shrinkToFit="0" vertical="center" wrapText="0"/>
    </xf>
    <xf borderId="5" fillId="0" fontId="15" numFmtId="0" xfId="0" applyAlignment="1" applyBorder="1" applyFont="1">
      <alignment shrinkToFit="0" vertical="center" wrapText="0"/>
    </xf>
    <xf borderId="5" fillId="0" fontId="18" numFmtId="0" xfId="0" applyAlignment="1" applyBorder="1" applyFont="1">
      <alignment shrinkToFit="0" vertical="center" wrapText="0"/>
    </xf>
    <xf borderId="5" fillId="0" fontId="19" numFmtId="0" xfId="0" applyAlignment="1" applyBorder="1" applyFont="1">
      <alignment shrinkToFit="0" vertical="center" wrapText="0"/>
    </xf>
    <xf borderId="5" fillId="0" fontId="19" numFmtId="0" xfId="0" applyAlignment="1" applyBorder="1" applyFont="1">
      <alignment shrinkToFit="0" vertical="bottom" wrapText="0"/>
    </xf>
    <xf borderId="6" fillId="0" fontId="9" numFmtId="0" xfId="0" applyAlignment="1" applyBorder="1" applyFont="1">
      <alignment shrinkToFit="0" vertical="bottom" wrapText="0"/>
    </xf>
    <xf borderId="7" fillId="9" fontId="5" numFmtId="165" xfId="0" applyAlignment="1" applyBorder="1" applyFill="1" applyFont="1" applyNumberFormat="1">
      <alignment horizontal="center" shrinkToFit="0" vertical="center" wrapText="0"/>
    </xf>
    <xf borderId="8" fillId="9" fontId="5" numFmtId="165" xfId="0" applyAlignment="1" applyBorder="1" applyFont="1" applyNumberFormat="1">
      <alignment horizontal="center" shrinkToFit="0" vertical="center" wrapText="0"/>
    </xf>
    <xf borderId="9" fillId="9" fontId="5" numFmtId="165" xfId="0" applyAlignment="1" applyBorder="1" applyFont="1" applyNumberFormat="1">
      <alignment horizontal="center" shrinkToFit="0" vertical="center" wrapText="0"/>
    </xf>
    <xf borderId="10" fillId="9" fontId="5" numFmtId="165" xfId="0" applyAlignment="1" applyBorder="1" applyFont="1" applyNumberFormat="1">
      <alignment horizontal="center" shrinkToFit="0" vertical="center" wrapText="0"/>
    </xf>
    <xf borderId="1" fillId="9" fontId="5" numFmtId="165" xfId="0" applyAlignment="1" applyBorder="1" applyFont="1" applyNumberFormat="1">
      <alignment horizontal="center" shrinkToFit="0" vertical="center" wrapText="0"/>
    </xf>
    <xf borderId="11" fillId="9" fontId="5" numFmtId="165" xfId="0" applyAlignment="1" applyBorder="1" applyFont="1" applyNumberFormat="1">
      <alignment horizontal="center" shrinkToFit="0" vertical="center" wrapText="0"/>
    </xf>
    <xf borderId="12" fillId="9" fontId="5" numFmtId="165" xfId="0" applyAlignment="1" applyBorder="1" applyFont="1" applyNumberFormat="1">
      <alignment horizontal="center" shrinkToFit="0" vertical="center" wrapText="0"/>
    </xf>
    <xf borderId="13" fillId="9" fontId="5" numFmtId="165" xfId="0" applyAlignment="1" applyBorder="1" applyFont="1" applyNumberFormat="1">
      <alignment horizontal="center" shrinkToFit="0" vertical="center" wrapText="0"/>
    </xf>
    <xf borderId="1" fillId="10" fontId="20" numFmtId="0" xfId="0" applyAlignment="1" applyBorder="1" applyFill="1" applyFont="1">
      <alignment horizontal="left" shrinkToFit="0" vertical="center" wrapText="0"/>
    </xf>
    <xf borderId="1" fillId="10" fontId="20" numFmtId="0" xfId="0" applyAlignment="1" applyBorder="1" applyFont="1">
      <alignment horizontal="center" shrinkToFit="0" vertical="center" wrapText="1"/>
    </xf>
    <xf borderId="6" fillId="0" fontId="21" numFmtId="0" xfId="0" applyAlignment="1" applyBorder="1" applyFont="1">
      <alignment horizontal="center" shrinkToFit="0" vertical="center" wrapText="1"/>
    </xf>
    <xf borderId="14" fillId="9" fontId="5" numFmtId="0" xfId="0" applyAlignment="1" applyBorder="1" applyFont="1">
      <alignment horizontal="center" shrinkToFit="1" vertical="center" wrapText="0"/>
    </xf>
    <xf borderId="0" fillId="0" fontId="11" numFmtId="0" xfId="0" applyAlignment="1" applyFont="1">
      <alignment horizontal="left" shrinkToFit="0" vertical="bottom" wrapText="1"/>
    </xf>
    <xf borderId="0" fillId="0" fontId="11" numFmtId="9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1"/>
    </xf>
    <xf borderId="0" fillId="0" fontId="11" numFmtId="164" xfId="0" applyAlignment="1" applyFont="1" applyNumberFormat="1">
      <alignment horizontal="center" shrinkToFit="0" vertical="center" wrapText="0"/>
    </xf>
    <xf borderId="0" fillId="0" fontId="11" numFmtId="166" xfId="0" applyAlignment="1" applyFont="1" applyNumberFormat="1">
      <alignment horizontal="center" shrinkToFit="0" vertical="center" wrapText="0"/>
    </xf>
    <xf borderId="15" fillId="0" fontId="11" numFmtId="0" xfId="0" applyAlignment="1" applyBorder="1" applyFont="1">
      <alignment shrinkToFit="0" vertical="center" wrapText="0"/>
    </xf>
    <xf borderId="0" fillId="0" fontId="22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0"/>
    </xf>
    <xf borderId="0" fillId="0" fontId="22" numFmtId="9" xfId="0" applyAlignment="1" applyFont="1" applyNumberFormat="1">
      <alignment horizontal="center" shrinkToFit="0" vertical="center" wrapText="0"/>
    </xf>
    <xf borderId="0" fillId="0" fontId="9" numFmtId="164" xfId="0" applyAlignment="1" applyFont="1" applyNumberFormat="1">
      <alignment horizontal="center" shrinkToFit="0" vertical="center" wrapText="0"/>
    </xf>
    <xf borderId="0" fillId="0" fontId="9" numFmtId="166" xfId="0" applyAlignment="1" applyFont="1" applyNumberFormat="1">
      <alignment horizontal="center" shrinkToFit="0" vertical="center" wrapText="0"/>
    </xf>
    <xf borderId="16" fillId="0" fontId="11" numFmtId="0" xfId="0" applyAlignment="1" applyBorder="1" applyFont="1">
      <alignment horizontal="center" shrinkToFit="0" vertical="center" wrapText="0"/>
    </xf>
    <xf borderId="17" fillId="0" fontId="11" numFmtId="0" xfId="0" applyAlignment="1" applyBorder="1" applyFont="1">
      <alignment shrinkToFit="0" vertical="center" wrapText="0"/>
    </xf>
    <xf borderId="0" fillId="0" fontId="9" numFmtId="0" xfId="0" applyAlignment="1" applyFont="1">
      <alignment horizontal="left" shrinkToFit="0" vertical="center" wrapText="1"/>
    </xf>
    <xf borderId="18" fillId="0" fontId="11" numFmtId="0" xfId="0" applyAlignment="1" applyBorder="1" applyFont="1">
      <alignment shrinkToFit="0" vertical="center" wrapText="0"/>
    </xf>
    <xf borderId="0" fillId="0" fontId="11" numFmtId="0" xfId="0" applyAlignment="1" applyFont="1">
      <alignment horizontal="center" shrinkToFit="0" vertical="center" wrapText="0"/>
    </xf>
    <xf borderId="2" fillId="10" fontId="23" numFmtId="0" xfId="0" applyAlignment="1" applyBorder="1" applyFont="1">
      <alignment horizontal="left" readingOrder="0" shrinkToFit="0" vertical="center" wrapText="0"/>
    </xf>
    <xf borderId="2" fillId="10" fontId="24" numFmtId="0" xfId="0" applyAlignment="1" applyBorder="1" applyFont="1">
      <alignment horizontal="center" shrinkToFit="0" vertical="center" wrapText="0"/>
    </xf>
    <xf borderId="2" fillId="10" fontId="10" numFmtId="0" xfId="0" applyAlignment="1" applyBorder="1" applyFont="1">
      <alignment horizontal="center" shrinkToFit="0" vertical="center" wrapText="0"/>
    </xf>
    <xf borderId="1" fillId="10" fontId="11" numFmtId="0" xfId="0" applyAlignment="1" applyBorder="1" applyFont="1">
      <alignment shrinkToFit="0" vertical="bottom" wrapText="0"/>
    </xf>
    <xf borderId="1" fillId="11" fontId="7" numFmtId="0" xfId="0" applyAlignment="1" applyBorder="1" applyFill="1" applyFont="1">
      <alignment horizontal="left" shrinkToFit="0" vertical="center" wrapText="0"/>
    </xf>
    <xf borderId="1" fillId="11" fontId="14" numFmtId="0" xfId="0" applyAlignment="1" applyBorder="1" applyFont="1">
      <alignment horizontal="left" shrinkToFit="0" vertical="center" wrapText="0"/>
    </xf>
    <xf borderId="1" fillId="11" fontId="9" numFmtId="0" xfId="0" applyAlignment="1" applyBorder="1" applyFont="1">
      <alignment shrinkToFit="0" vertical="center" wrapText="0"/>
    </xf>
    <xf borderId="1" fillId="11" fontId="13" numFmtId="0" xfId="0" applyAlignment="1" applyBorder="1" applyFont="1">
      <alignment horizontal="center" shrinkToFit="0" vertical="center" wrapText="0"/>
    </xf>
    <xf borderId="1" fillId="11" fontId="11" numFmtId="0" xfId="0" applyAlignment="1" applyBorder="1" applyFont="1">
      <alignment shrinkToFit="0" vertical="center" wrapText="0"/>
    </xf>
    <xf borderId="1" fillId="11" fontId="13" numFmtId="0" xfId="0" applyAlignment="1" applyBorder="1" applyFont="1">
      <alignment shrinkToFit="0" vertical="center" wrapText="0"/>
    </xf>
    <xf borderId="1" fillId="11" fontId="11" numFmtId="0" xfId="0" applyAlignment="1" applyBorder="1" applyFont="1">
      <alignment shrinkToFit="0" vertical="bottom" wrapText="0"/>
    </xf>
    <xf borderId="1" fillId="11" fontId="25" numFmtId="0" xfId="0" applyAlignment="1" applyBorder="1" applyFont="1">
      <alignment horizontal="left" readingOrder="0" shrinkToFit="0" vertical="center" wrapText="0"/>
    </xf>
    <xf borderId="1" fillId="11" fontId="26" numFmtId="0" xfId="0" applyAlignment="1" applyBorder="1" applyFont="1">
      <alignment horizontal="left" shrinkToFit="0" vertical="center" wrapText="0"/>
    </xf>
    <xf borderId="1" fillId="11" fontId="11" numFmtId="0" xfId="0" applyAlignment="1" applyBorder="1" applyFont="1">
      <alignment horizontal="left" shrinkToFit="0" vertical="center" wrapText="0"/>
    </xf>
    <xf borderId="1" fillId="11" fontId="11" numFmtId="0" xfId="0" applyAlignment="1" applyBorder="1" applyFont="1">
      <alignment horizontal="center" shrinkToFit="0" vertical="bottom" wrapText="0"/>
    </xf>
    <xf borderId="1" fillId="11" fontId="10" numFmtId="0" xfId="0" applyAlignment="1" applyBorder="1" applyFont="1">
      <alignment horizontal="right" shrinkToFit="0" vertical="center" wrapText="0"/>
    </xf>
    <xf borderId="1" fillId="11" fontId="10" numFmtId="0" xfId="0" applyAlignment="1" applyBorder="1" applyFont="1">
      <alignment horizontal="left" shrinkToFit="0" vertical="center" wrapText="0"/>
    </xf>
    <xf borderId="1" fillId="11" fontId="10" numFmtId="164" xfId="0" applyAlignment="1" applyBorder="1" applyFont="1" applyNumberFormat="1">
      <alignment horizontal="left" readingOrder="0" shrinkToFit="0" vertical="center" wrapText="0"/>
    </xf>
    <xf borderId="1" fillId="11" fontId="11" numFmtId="164" xfId="0" applyAlignment="1" applyBorder="1" applyFont="1" applyNumberFormat="1">
      <alignment horizontal="left" shrinkToFit="0" vertical="center" wrapText="0"/>
    </xf>
    <xf borderId="0" fillId="0" fontId="18" numFmtId="0" xfId="0" applyAlignment="1" applyFont="1">
      <alignment shrinkToFit="0" vertical="center" wrapText="0"/>
    </xf>
    <xf borderId="0" fillId="0" fontId="19" numFmtId="0" xfId="0" applyAlignment="1" applyFont="1">
      <alignment shrinkToFit="0" vertical="center" wrapText="0"/>
    </xf>
    <xf borderId="0" fillId="0" fontId="19" numFmtId="0" xfId="0" applyAlignment="1" applyFont="1">
      <alignment shrinkToFit="0" vertical="bottom" wrapText="0"/>
    </xf>
    <xf borderId="1" fillId="11" fontId="10" numFmtId="0" xfId="0" applyAlignment="1" applyBorder="1" applyFont="1">
      <alignment horizontal="left" readingOrder="0" shrinkToFit="0" vertical="center" wrapText="0"/>
    </xf>
    <xf borderId="19" fillId="10" fontId="27" numFmtId="165" xfId="0" applyAlignment="1" applyBorder="1" applyFont="1" applyNumberFormat="1">
      <alignment horizontal="center" shrinkToFit="0" vertical="center" wrapText="0"/>
    </xf>
    <xf borderId="1" fillId="10" fontId="27" numFmtId="165" xfId="0" applyAlignment="1" applyBorder="1" applyFont="1" applyNumberFormat="1">
      <alignment horizontal="center" shrinkToFit="0" vertical="center" wrapText="0"/>
    </xf>
    <xf borderId="20" fillId="10" fontId="27" numFmtId="165" xfId="0" applyAlignment="1" applyBorder="1" applyFont="1" applyNumberFormat="1">
      <alignment horizontal="center" shrinkToFit="0" vertical="center" wrapText="0"/>
    </xf>
    <xf borderId="13" fillId="10" fontId="27" numFmtId="165" xfId="0" applyAlignment="1" applyBorder="1" applyFont="1" applyNumberFormat="1">
      <alignment horizontal="center" shrinkToFit="0" vertical="center" wrapText="0"/>
    </xf>
    <xf borderId="21" fillId="10" fontId="5" numFmtId="165" xfId="0" applyAlignment="1" applyBorder="1" applyFont="1" applyNumberFormat="1">
      <alignment horizontal="center" shrinkToFit="0" vertical="center" wrapText="0"/>
    </xf>
    <xf borderId="22" fillId="10" fontId="5" numFmtId="165" xfId="0" applyAlignment="1" applyBorder="1" applyFont="1" applyNumberFormat="1">
      <alignment horizontal="center" shrinkToFit="0" vertical="center" wrapText="0"/>
    </xf>
    <xf borderId="23" fillId="10" fontId="5" numFmtId="165" xfId="0" applyAlignment="1" applyBorder="1" applyFont="1" applyNumberFormat="1">
      <alignment horizontal="center" shrinkToFit="0" vertical="center" wrapText="0"/>
    </xf>
    <xf borderId="1" fillId="12" fontId="22" numFmtId="0" xfId="0" applyAlignment="1" applyBorder="1" applyFill="1" applyFont="1">
      <alignment horizontal="left" shrinkToFit="0" vertical="center" wrapText="0"/>
    </xf>
    <xf borderId="1" fillId="12" fontId="22" numFmtId="0" xfId="0" applyAlignment="1" applyBorder="1" applyFont="1">
      <alignment horizontal="center" shrinkToFit="0" vertical="center" wrapText="1"/>
    </xf>
    <xf borderId="2" fillId="12" fontId="22" numFmtId="0" xfId="0" applyAlignment="1" applyBorder="1" applyFont="1">
      <alignment horizontal="center" shrinkToFit="0" vertical="center" wrapText="1"/>
    </xf>
    <xf borderId="1" fillId="11" fontId="21" numFmtId="0" xfId="0" applyAlignment="1" applyBorder="1" applyFont="1">
      <alignment horizontal="center" shrinkToFit="0" vertical="center" wrapText="1"/>
    </xf>
    <xf borderId="17" fillId="10" fontId="27" numFmtId="0" xfId="0" applyAlignment="1" applyBorder="1" applyFont="1">
      <alignment horizontal="center" shrinkToFit="1" vertical="center" wrapText="0"/>
    </xf>
    <xf borderId="0" fillId="13" fontId="20" numFmtId="0" xfId="0" applyAlignment="1" applyFill="1" applyFont="1">
      <alignment horizontal="left" readingOrder="0" shrinkToFit="0" vertical="center" wrapText="1"/>
    </xf>
    <xf borderId="0" fillId="13" fontId="10" numFmtId="0" xfId="0" applyAlignment="1" applyFont="1">
      <alignment horizontal="center" shrinkToFit="0" vertical="center" wrapText="0"/>
    </xf>
    <xf borderId="0" fillId="13" fontId="20" numFmtId="9" xfId="0" applyAlignment="1" applyFont="1" applyNumberFormat="1">
      <alignment horizontal="center" readingOrder="0" shrinkToFit="0" vertical="center" wrapText="0"/>
    </xf>
    <xf borderId="0" fillId="13" fontId="20" numFmtId="9" xfId="0" applyAlignment="1" applyFont="1" applyNumberFormat="1">
      <alignment horizontal="center" shrinkToFit="0" vertical="center" wrapText="0"/>
    </xf>
    <xf borderId="0" fillId="13" fontId="10" numFmtId="164" xfId="0" applyAlignment="1" applyFont="1" applyNumberFormat="1">
      <alignment horizontal="center" shrinkToFit="0" vertical="center" wrapText="0"/>
    </xf>
    <xf borderId="0" fillId="13" fontId="10" numFmtId="166" xfId="0" applyAlignment="1" applyFont="1" applyNumberFormat="1">
      <alignment horizontal="center" readingOrder="0" shrinkToFit="0" vertical="center" wrapText="0"/>
    </xf>
    <xf borderId="1" fillId="11" fontId="9" numFmtId="0" xfId="0" applyAlignment="1" applyBorder="1" applyFont="1">
      <alignment horizontal="center" shrinkToFit="0" vertical="center" wrapText="0"/>
    </xf>
    <xf borderId="24" fillId="11" fontId="11" numFmtId="0" xfId="0" applyAlignment="1" applyBorder="1" applyFont="1">
      <alignment horizontal="center" shrinkToFit="0" vertical="center" wrapText="0"/>
    </xf>
    <xf borderId="25" fillId="11" fontId="11" numFmtId="0" xfId="0" applyAlignment="1" applyBorder="1" applyFont="1">
      <alignment horizontal="center" shrinkToFit="0" vertical="center" wrapText="0"/>
    </xf>
    <xf borderId="0" fillId="14" fontId="10" numFmtId="0" xfId="0" applyAlignment="1" applyFill="1" applyFont="1">
      <alignment horizontal="left" readingOrder="0" shrinkToFit="0" vertical="center" wrapText="1"/>
    </xf>
    <xf borderId="0" fillId="14" fontId="10" numFmtId="0" xfId="0" applyAlignment="1" applyFont="1">
      <alignment horizontal="center" readingOrder="0" shrinkToFit="0" vertical="center" wrapText="0"/>
    </xf>
    <xf borderId="0" fillId="14" fontId="20" numFmtId="9" xfId="0" applyAlignment="1" applyFont="1" applyNumberFormat="1">
      <alignment horizontal="center" readingOrder="0" shrinkToFit="0" vertical="center" wrapText="0"/>
    </xf>
    <xf borderId="0" fillId="14" fontId="20" numFmtId="9" xfId="0" applyAlignment="1" applyFont="1" applyNumberFormat="1">
      <alignment horizontal="center" shrinkToFit="0" vertical="center" wrapText="0"/>
    </xf>
    <xf borderId="0" fillId="14" fontId="10" numFmtId="164" xfId="0" applyAlignment="1" applyFont="1" applyNumberFormat="1">
      <alignment horizontal="center" readingOrder="0" shrinkToFit="0" vertical="center" wrapText="0"/>
    </xf>
    <xf borderId="0" fillId="14" fontId="10" numFmtId="166" xfId="0" applyAlignment="1" applyFont="1" applyNumberFormat="1">
      <alignment horizontal="center" readingOrder="0" shrinkToFit="0" vertical="center" wrapText="0"/>
    </xf>
    <xf borderId="0" fillId="14" fontId="28" numFmtId="0" xfId="0" applyAlignment="1" applyFont="1">
      <alignment horizontal="left" readingOrder="0" shrinkToFit="0" vertical="center" wrapText="1"/>
    </xf>
    <xf borderId="0" fillId="14" fontId="10" numFmtId="0" xfId="0" applyAlignment="1" applyFont="1">
      <alignment horizontal="center" shrinkToFit="0" vertical="center" wrapText="0"/>
    </xf>
    <xf borderId="0" fillId="14" fontId="10" numFmtId="164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readingOrder="0" shrinkToFit="0" vertical="bottom" wrapText="0"/>
    </xf>
    <xf borderId="2" fillId="2" fontId="23" numFmtId="0" xfId="0" applyAlignment="1" applyBorder="1" applyFont="1">
      <alignment horizontal="left" shrinkToFit="0" vertical="center" wrapText="0"/>
    </xf>
    <xf borderId="2" fillId="2" fontId="24" numFmtId="0" xfId="0" applyAlignment="1" applyBorder="1" applyFont="1">
      <alignment horizontal="center" shrinkToFit="0" vertical="center" wrapText="0"/>
    </xf>
    <xf borderId="2" fillId="2" fontId="10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shrinkToFit="0" vertical="bottom" wrapText="0"/>
    </xf>
    <xf borderId="1" fillId="2" fontId="20" numFmtId="0" xfId="0" applyAlignment="1" applyBorder="1" applyFont="1">
      <alignment horizontal="left" shrinkToFit="0" vertical="center" wrapText="0"/>
    </xf>
    <xf borderId="1" fillId="2" fontId="2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8">
    <dxf>
      <font>
        <b/>
        <color rgb="FFFFFFFF"/>
        <name val="Calibri"/>
      </font>
      <fill>
        <patternFill patternType="none"/>
      </fill>
      <border>
        <left style="thin">
          <color rgb="FF000000"/>
        </left>
        <right style="thin">
          <color rgb="FF000000"/>
        </right>
      </border>
    </dxf>
    <dxf>
      <font>
        <color rgb="FFFFFFFF"/>
        <name val="Calibri"/>
      </font>
      <fill>
        <patternFill patternType="solid">
          <fgColor rgb="FFF2F2F2"/>
          <bgColor rgb="FFF2F2F2"/>
        </patternFill>
      </fill>
      <border>
        <bottom style="thin">
          <color rgb="FF000000"/>
        </bottom>
      </border>
    </dxf>
    <dxf>
      <font>
        <color rgb="FFFFFFFF"/>
        <name val="Calibri"/>
      </font>
      <fill>
        <patternFill patternType="solid">
          <fgColor rgb="FFD9D9D9"/>
          <bgColor rgb="FFD9D9D9"/>
        </patternFill>
      </fill>
      <border>
        <bottom style="thin">
          <color rgb="FF000000"/>
        </bottom>
      </border>
    </dxf>
    <dxf>
      <font>
        <color rgb="FF000000"/>
        <name val="Calibri"/>
      </font>
      <fill>
        <patternFill patternType="solid">
          <fgColor rgb="FF00B0F0"/>
          <bgColor rgb="FF00B0F0"/>
        </patternFill>
      </fill>
      <border/>
    </dxf>
    <dxf>
      <font>
        <color rgb="FF000000"/>
        <name val="Calibri"/>
      </font>
      <fill>
        <patternFill patternType="solid">
          <fgColor rgb="FF862B99"/>
          <bgColor rgb="FF862B99"/>
        </patternFill>
      </fill>
      <border/>
    </dxf>
    <dxf>
      <font>
        <color rgb="FF000000"/>
        <name val="Calibri"/>
      </font>
      <fill>
        <patternFill patternType="solid">
          <fgColor rgb="FF20A472"/>
          <bgColor rgb="FF20A472"/>
        </patternFill>
      </fill>
      <border/>
    </dxf>
    <dxf>
      <font>
        <color rgb="FF000000"/>
        <name val="Calibri"/>
      </font>
      <fill>
        <patternFill patternType="solid">
          <fgColor rgb="FF4868E5"/>
          <bgColor rgb="FF4868E5"/>
        </patternFill>
      </fill>
      <border/>
    </dxf>
    <dxf>
      <font>
        <color rgb="FF000000"/>
        <name val="Calibri"/>
      </font>
      <fill>
        <patternFill patternType="solid">
          <fgColor rgb="FFE6E6E6"/>
          <bgColor rgb="FFE6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2762250</xdr:colOff>
      <xdr:row>1</xdr:row>
      <xdr:rowOff>9525</xdr:rowOff>
    </xdr:from>
    <xdr:ext cx="523875" cy="581025"/>
    <xdr:pic>
      <xdr:nvPicPr>
        <xdr:cNvPr descr="Gráfico de Gantt com preenchimento sólid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.71"/>
    <col customWidth="1" min="3" max="5" width="46.29"/>
    <col customWidth="1" min="6" max="6" width="2.71"/>
    <col customWidth="1" min="7" max="13" width="9.14"/>
    <col customWidth="1" min="14" max="26" width="8.71"/>
  </cols>
  <sheetData>
    <row r="1" ht="12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9.5" customHeight="1">
      <c r="A2" s="1"/>
      <c r="B2" s="3"/>
      <c r="C2" s="4"/>
      <c r="D2" s="5"/>
      <c r="E2" s="6"/>
      <c r="F2" s="3"/>
      <c r="G2" s="1"/>
      <c r="H2" s="1"/>
      <c r="I2" s="1"/>
      <c r="J2" s="1"/>
      <c r="K2" s="1"/>
      <c r="L2" s="1"/>
      <c r="M2" s="1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"/>
      <c r="B3" s="8"/>
      <c r="C3" s="9"/>
      <c r="D3" s="10"/>
      <c r="E3" s="8"/>
      <c r="F3" s="8"/>
      <c r="G3" s="1"/>
      <c r="H3" s="1"/>
      <c r="I3" s="1"/>
      <c r="J3" s="1"/>
      <c r="K3" s="1"/>
      <c r="L3" s="1"/>
      <c r="M3" s="1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66.75" customHeight="1">
      <c r="A4" s="1"/>
      <c r="B4" s="8"/>
      <c r="C4" s="11"/>
      <c r="D4" s="5"/>
      <c r="E4" s="6"/>
      <c r="F4" s="8"/>
      <c r="G4" s="1"/>
      <c r="H4" s="1"/>
      <c r="I4" s="1"/>
      <c r="J4" s="1"/>
      <c r="K4" s="1"/>
      <c r="L4" s="1"/>
      <c r="M4" s="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66.75" customHeight="1">
      <c r="A5" s="1"/>
      <c r="B5" s="8"/>
      <c r="C5" s="11"/>
      <c r="D5" s="5"/>
      <c r="E5" s="6"/>
      <c r="F5" s="8"/>
      <c r="G5" s="1"/>
      <c r="H5" s="1"/>
      <c r="I5" s="1"/>
      <c r="J5" s="1"/>
      <c r="K5" s="1"/>
      <c r="L5" s="1"/>
      <c r="M5" s="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7"/>
      <c r="B6" s="13"/>
      <c r="C6" s="13"/>
      <c r="D6" s="14"/>
      <c r="E6" s="13"/>
      <c r="F6" s="13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9.5" customHeight="1">
      <c r="A7" s="12"/>
      <c r="B7" s="12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12"/>
      <c r="B8" s="12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90.0" customHeight="1">
      <c r="A9" s="12"/>
      <c r="B9" s="12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12"/>
      <c r="B10" s="12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2"/>
      <c r="B11" s="12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2"/>
      <c r="B12" s="12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2"/>
      <c r="B13" s="12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2"/>
      <c r="B14" s="12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2"/>
      <c r="B15" s="12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2"/>
      <c r="B16" s="12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2"/>
      <c r="B17" s="12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12"/>
      <c r="B18" s="12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12"/>
      <c r="B19" s="12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12"/>
      <c r="B20" s="12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12"/>
      <c r="B21" s="12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12"/>
      <c r="B22" s="12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12"/>
      <c r="B23" s="12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12"/>
      <c r="B24" s="12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12"/>
      <c r="B25" s="12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12"/>
      <c r="B26" s="12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12"/>
      <c r="B27" s="12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12"/>
      <c r="B28" s="12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12"/>
      <c r="B29" s="12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12"/>
      <c r="B30" s="12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12"/>
      <c r="B31" s="12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12"/>
      <c r="B32" s="12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12"/>
      <c r="B33" s="12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12"/>
      <c r="B34" s="12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12"/>
      <c r="B35" s="1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12"/>
      <c r="B36" s="12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12"/>
      <c r="B37" s="12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12"/>
      <c r="B38" s="12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12"/>
      <c r="B39" s="12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12"/>
      <c r="B40" s="12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12"/>
      <c r="B41" s="12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12"/>
      <c r="B42" s="12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12"/>
      <c r="B43" s="12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12"/>
      <c r="B44" s="12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12"/>
      <c r="B45" s="12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12"/>
      <c r="B46" s="12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12"/>
      <c r="B47" s="12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12"/>
      <c r="B48" s="12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12"/>
      <c r="B49" s="12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12"/>
      <c r="B50" s="12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12"/>
      <c r="B51" s="12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12"/>
      <c r="B52" s="12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12"/>
      <c r="B53" s="12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12"/>
      <c r="B54" s="12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12"/>
      <c r="B55" s="12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12"/>
      <c r="B56" s="12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12"/>
      <c r="B57" s="12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12"/>
      <c r="B58" s="12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12"/>
      <c r="B59" s="12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12"/>
      <c r="B60" s="12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12"/>
      <c r="B61" s="12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12"/>
      <c r="B62" s="12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12"/>
      <c r="B63" s="12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12"/>
      <c r="B64" s="12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12"/>
      <c r="B65" s="12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12"/>
      <c r="B66" s="12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12"/>
      <c r="B67" s="12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12"/>
      <c r="B68" s="12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12"/>
      <c r="B69" s="12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12"/>
      <c r="B70" s="12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12"/>
      <c r="B71" s="12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12"/>
      <c r="B72" s="12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12"/>
      <c r="B73" s="12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12"/>
      <c r="B74" s="12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12"/>
      <c r="B75" s="12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12"/>
      <c r="B76" s="12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12"/>
      <c r="B77" s="12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12"/>
      <c r="B78" s="12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12"/>
      <c r="B79" s="12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12"/>
      <c r="B80" s="12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12"/>
      <c r="B81" s="12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12"/>
      <c r="B82" s="12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12"/>
      <c r="B83" s="12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12"/>
      <c r="B84" s="12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12"/>
      <c r="B85" s="12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12"/>
      <c r="B86" s="12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12"/>
      <c r="B87" s="12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12"/>
      <c r="B88" s="12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12"/>
      <c r="B89" s="12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12"/>
      <c r="B90" s="12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12"/>
      <c r="B91" s="12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12"/>
      <c r="B92" s="12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12"/>
      <c r="B93" s="12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12"/>
      <c r="B94" s="12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12"/>
      <c r="B95" s="12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12"/>
      <c r="B96" s="12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12"/>
      <c r="B97" s="12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12"/>
      <c r="B98" s="12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12"/>
      <c r="B99" s="12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12"/>
      <c r="B100" s="12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12"/>
      <c r="B101" s="12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12"/>
      <c r="B102" s="12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12"/>
      <c r="B103" s="12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12"/>
      <c r="B104" s="12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12"/>
      <c r="B105" s="12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12"/>
      <c r="B106" s="12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12"/>
      <c r="B107" s="12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12"/>
      <c r="B108" s="12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12"/>
      <c r="B109" s="12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12"/>
      <c r="B110" s="12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12"/>
      <c r="B111" s="12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12"/>
      <c r="B112" s="12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12"/>
      <c r="B113" s="12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12"/>
      <c r="B114" s="12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12"/>
      <c r="B115" s="12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12"/>
      <c r="B116" s="12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12"/>
      <c r="B117" s="12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12"/>
      <c r="B118" s="12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12"/>
      <c r="B119" s="12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12"/>
      <c r="B120" s="12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12"/>
      <c r="B121" s="1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12"/>
      <c r="B122" s="12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12"/>
      <c r="B123" s="12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12"/>
      <c r="B124" s="12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12"/>
      <c r="B125" s="12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12"/>
      <c r="B126" s="12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12"/>
      <c r="B127" s="12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12"/>
      <c r="B128" s="12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12"/>
      <c r="B129" s="12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12"/>
      <c r="B130" s="12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12"/>
      <c r="B131" s="12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12"/>
      <c r="B132" s="12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12"/>
      <c r="B133" s="12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12"/>
      <c r="B134" s="12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12"/>
      <c r="B135" s="12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12"/>
      <c r="B136" s="12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12"/>
      <c r="B137" s="12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12"/>
      <c r="B138" s="12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12"/>
      <c r="B139" s="12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12"/>
      <c r="B140" s="12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12"/>
      <c r="B141" s="12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12"/>
      <c r="B142" s="12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12"/>
      <c r="B143" s="12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12"/>
      <c r="B144" s="12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12"/>
      <c r="B145" s="12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12"/>
      <c r="B146" s="12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12"/>
      <c r="B147" s="12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12"/>
      <c r="B148" s="12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12"/>
      <c r="B149" s="12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12"/>
      <c r="B150" s="12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12"/>
      <c r="B151" s="12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12"/>
      <c r="B152" s="12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12"/>
      <c r="B153" s="12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12"/>
      <c r="B154" s="12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12"/>
      <c r="B155" s="12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12"/>
      <c r="B156" s="12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12"/>
      <c r="B157" s="12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12"/>
      <c r="B158" s="12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12"/>
      <c r="B159" s="12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12"/>
      <c r="B160" s="12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12"/>
      <c r="B161" s="12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12"/>
      <c r="B162" s="12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12"/>
      <c r="B163" s="12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12"/>
      <c r="B164" s="12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12"/>
      <c r="B165" s="12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12"/>
      <c r="B166" s="12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12"/>
      <c r="B167" s="12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12"/>
      <c r="B168" s="12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12"/>
      <c r="B169" s="12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12"/>
      <c r="B170" s="12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12"/>
      <c r="B171" s="12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12"/>
      <c r="B172" s="12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12"/>
      <c r="B173" s="12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12"/>
      <c r="B174" s="12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12"/>
      <c r="B175" s="12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12"/>
      <c r="B176" s="12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12"/>
      <c r="B177" s="12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12"/>
      <c r="B178" s="12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12"/>
      <c r="B179" s="12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12"/>
      <c r="B180" s="12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12"/>
      <c r="B181" s="12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12"/>
      <c r="B182" s="12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12"/>
      <c r="B183" s="12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12"/>
      <c r="B184" s="12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12"/>
      <c r="B185" s="12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12"/>
      <c r="B186" s="12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12"/>
      <c r="B187" s="12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12"/>
      <c r="B188" s="12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12"/>
      <c r="B189" s="12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12"/>
      <c r="B190" s="12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12"/>
      <c r="B191" s="12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12"/>
      <c r="B192" s="12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12"/>
      <c r="B193" s="12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12"/>
      <c r="B194" s="12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12"/>
      <c r="B195" s="12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12"/>
      <c r="B196" s="12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12"/>
      <c r="B197" s="12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12"/>
      <c r="B198" s="12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12"/>
      <c r="B199" s="12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12"/>
      <c r="B200" s="12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12"/>
      <c r="B201" s="12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12"/>
      <c r="B202" s="12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12"/>
      <c r="B203" s="12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12"/>
      <c r="B204" s="12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12"/>
      <c r="B205" s="12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12"/>
      <c r="B206" s="12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12"/>
      <c r="B207" s="12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12"/>
      <c r="B208" s="12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12"/>
      <c r="B209" s="12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12"/>
      <c r="B210" s="12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12"/>
      <c r="B211" s="1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12"/>
      <c r="B212" s="1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12"/>
      <c r="B213" s="12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12"/>
      <c r="B214" s="12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12"/>
      <c r="B215" s="12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12"/>
      <c r="B216" s="12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12"/>
      <c r="B217" s="12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12"/>
      <c r="B218" s="12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12"/>
      <c r="B219" s="12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12"/>
      <c r="B220" s="12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12"/>
      <c r="B221" s="12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12"/>
      <c r="B222" s="12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12"/>
      <c r="B223" s="12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12"/>
      <c r="B224" s="12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12"/>
      <c r="B225" s="12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12"/>
      <c r="B226" s="12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12"/>
      <c r="B227" s="12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12"/>
      <c r="B228" s="12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12"/>
      <c r="B229" s="12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12"/>
      <c r="B230" s="12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12"/>
      <c r="B231" s="12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12"/>
      <c r="B232" s="12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12"/>
      <c r="B233" s="12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12"/>
      <c r="B234" s="12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12"/>
      <c r="B235" s="12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12"/>
      <c r="B236" s="12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12"/>
      <c r="B237" s="12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12"/>
      <c r="B238" s="12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12"/>
      <c r="B239" s="12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12"/>
      <c r="B240" s="12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12"/>
      <c r="B241" s="12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12"/>
      <c r="B242" s="12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12"/>
      <c r="B243" s="12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12"/>
      <c r="B244" s="12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12"/>
      <c r="B245" s="12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12"/>
      <c r="B246" s="12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12"/>
      <c r="B247" s="12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12"/>
      <c r="B248" s="12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12"/>
      <c r="B249" s="12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12"/>
      <c r="B250" s="12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12"/>
      <c r="B251" s="12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12"/>
      <c r="B252" s="12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12"/>
      <c r="B253" s="12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12"/>
      <c r="B254" s="12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12"/>
      <c r="B255" s="12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12"/>
      <c r="B256" s="12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12"/>
      <c r="B257" s="12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12"/>
      <c r="B258" s="12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12"/>
      <c r="B259" s="12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12"/>
      <c r="B260" s="12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12"/>
      <c r="B261" s="12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12"/>
      <c r="B262" s="12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12"/>
      <c r="B263" s="12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12"/>
      <c r="B264" s="12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12"/>
      <c r="B265" s="12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12"/>
      <c r="B266" s="12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12"/>
      <c r="B267" s="12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12"/>
      <c r="B268" s="12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12"/>
      <c r="B269" s="12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12"/>
      <c r="B270" s="12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12"/>
      <c r="B271" s="12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12"/>
      <c r="B272" s="12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12"/>
      <c r="B273" s="12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12"/>
      <c r="B274" s="12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12"/>
      <c r="B275" s="12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12"/>
      <c r="B276" s="12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12"/>
      <c r="B277" s="12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12"/>
      <c r="B278" s="12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12"/>
      <c r="B279" s="12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12"/>
      <c r="B280" s="12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12"/>
      <c r="B281" s="12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12"/>
      <c r="B282" s="12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12"/>
      <c r="B283" s="12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12"/>
      <c r="B284" s="12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12"/>
      <c r="B285" s="12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12"/>
      <c r="B286" s="12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12"/>
      <c r="B287" s="12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12"/>
      <c r="B288" s="12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12"/>
      <c r="B289" s="12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12"/>
      <c r="B290" s="12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12"/>
      <c r="B291" s="12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12"/>
      <c r="B292" s="12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12"/>
      <c r="B293" s="12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12"/>
      <c r="B294" s="12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12"/>
      <c r="B295" s="12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12"/>
      <c r="B296" s="12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12"/>
      <c r="B297" s="12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12"/>
      <c r="B298" s="12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12"/>
      <c r="B299" s="12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12"/>
      <c r="B300" s="12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12"/>
      <c r="B301" s="1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12"/>
      <c r="B302" s="12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12"/>
      <c r="B303" s="12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12"/>
      <c r="B304" s="12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12"/>
      <c r="B305" s="12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12"/>
      <c r="B306" s="12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12"/>
      <c r="B307" s="12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12"/>
      <c r="B308" s="12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12"/>
      <c r="B309" s="12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12"/>
      <c r="B310" s="12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12"/>
      <c r="B311" s="12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12"/>
      <c r="B312" s="12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12"/>
      <c r="B313" s="12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12"/>
      <c r="B314" s="12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12"/>
      <c r="B315" s="12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12"/>
      <c r="B316" s="12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12"/>
      <c r="B317" s="12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12"/>
      <c r="B318" s="12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12"/>
      <c r="B319" s="12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12"/>
      <c r="B320" s="12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12"/>
      <c r="B321" s="12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12"/>
      <c r="B322" s="12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12"/>
      <c r="B323" s="12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12"/>
      <c r="B324" s="12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12"/>
      <c r="B325" s="12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12"/>
      <c r="B326" s="12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12"/>
      <c r="B327" s="12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12"/>
      <c r="B328" s="12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12"/>
      <c r="B329" s="12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12"/>
      <c r="B330" s="12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12"/>
      <c r="B331" s="12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12"/>
      <c r="B332" s="12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12"/>
      <c r="B333" s="12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12"/>
      <c r="B334" s="12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12"/>
      <c r="B335" s="12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12"/>
      <c r="B336" s="12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12"/>
      <c r="B337" s="12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12"/>
      <c r="B338" s="12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12"/>
      <c r="B339" s="12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12"/>
      <c r="B340" s="12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12"/>
      <c r="B341" s="12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12"/>
      <c r="B342" s="12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12"/>
      <c r="B343" s="12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12"/>
      <c r="B344" s="12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12"/>
      <c r="B345" s="12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12"/>
      <c r="B346" s="12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12"/>
      <c r="B347" s="12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12"/>
      <c r="B348" s="12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12"/>
      <c r="B349" s="12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12"/>
      <c r="B350" s="12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12"/>
      <c r="B351" s="12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12"/>
      <c r="B352" s="12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12"/>
      <c r="B353" s="12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12"/>
      <c r="B354" s="12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12"/>
      <c r="B355" s="12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12"/>
      <c r="B356" s="12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12"/>
      <c r="B357" s="12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12"/>
      <c r="B358" s="12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12"/>
      <c r="B359" s="12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12"/>
      <c r="B360" s="12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12"/>
      <c r="B361" s="12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12"/>
      <c r="B362" s="12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12"/>
      <c r="B363" s="12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12"/>
      <c r="B364" s="12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12"/>
      <c r="B365" s="12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12"/>
      <c r="B366" s="12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12"/>
      <c r="B367" s="12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12"/>
      <c r="B368" s="12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12"/>
      <c r="B369" s="12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12"/>
      <c r="B370" s="12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12"/>
      <c r="B371" s="12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12"/>
      <c r="B372" s="12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12"/>
      <c r="B373" s="12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12"/>
      <c r="B374" s="12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12"/>
      <c r="B375" s="12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12"/>
      <c r="B376" s="12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12"/>
      <c r="B377" s="12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12"/>
      <c r="B378" s="12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12"/>
      <c r="B379" s="12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12"/>
      <c r="B380" s="12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12"/>
      <c r="B381" s="12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12"/>
      <c r="B382" s="12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12"/>
      <c r="B383" s="12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12"/>
      <c r="B384" s="12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12"/>
      <c r="B385" s="12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12"/>
      <c r="B386" s="12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12"/>
      <c r="B387" s="12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12"/>
      <c r="B388" s="12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12"/>
      <c r="B389" s="12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12"/>
      <c r="B390" s="12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12"/>
      <c r="B391" s="12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12"/>
      <c r="B392" s="12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12"/>
      <c r="B393" s="12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12"/>
      <c r="B394" s="12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12"/>
      <c r="B395" s="12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12"/>
      <c r="B396" s="12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12"/>
      <c r="B397" s="12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12"/>
      <c r="B398" s="12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12"/>
      <c r="B399" s="12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12"/>
      <c r="B400" s="12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12"/>
      <c r="B401" s="12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12"/>
      <c r="B402" s="12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12"/>
      <c r="B403" s="12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12"/>
      <c r="B404" s="12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12"/>
      <c r="B405" s="12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12"/>
      <c r="B406" s="12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12"/>
      <c r="B407" s="12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12"/>
      <c r="B408" s="12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12"/>
      <c r="B409" s="12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12"/>
      <c r="B410" s="12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12"/>
      <c r="B411" s="12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12"/>
      <c r="B412" s="12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12"/>
      <c r="B413" s="12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12"/>
      <c r="B414" s="12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12"/>
      <c r="B415" s="12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12"/>
      <c r="B416" s="12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12"/>
      <c r="B417" s="12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12"/>
      <c r="B418" s="12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12"/>
      <c r="B419" s="12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12"/>
      <c r="B420" s="12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12"/>
      <c r="B421" s="12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12"/>
      <c r="B422" s="12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12"/>
      <c r="B423" s="12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12"/>
      <c r="B424" s="12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12"/>
      <c r="B425" s="12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12"/>
      <c r="B426" s="12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12"/>
      <c r="B427" s="12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12"/>
      <c r="B428" s="12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12"/>
      <c r="B429" s="12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12"/>
      <c r="B430" s="12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12"/>
      <c r="B431" s="12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12"/>
      <c r="B432" s="12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12"/>
      <c r="B433" s="12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12"/>
      <c r="B434" s="12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12"/>
      <c r="B435" s="12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12"/>
      <c r="B436" s="12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12"/>
      <c r="B437" s="12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12"/>
      <c r="B438" s="12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12"/>
      <c r="B439" s="12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12"/>
      <c r="B440" s="12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12"/>
      <c r="B441" s="12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12"/>
      <c r="B442" s="12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12"/>
      <c r="B443" s="12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12"/>
      <c r="B444" s="12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12"/>
      <c r="B445" s="12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12"/>
      <c r="B446" s="12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12"/>
      <c r="B447" s="12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12"/>
      <c r="B448" s="12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12"/>
      <c r="B449" s="12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12"/>
      <c r="B450" s="12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12"/>
      <c r="B451" s="12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12"/>
      <c r="B452" s="12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12"/>
      <c r="B453" s="12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12"/>
      <c r="B454" s="12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12"/>
      <c r="B455" s="12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12"/>
      <c r="B456" s="12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12"/>
      <c r="B457" s="12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12"/>
      <c r="B458" s="12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12"/>
      <c r="B459" s="12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12"/>
      <c r="B460" s="12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12"/>
      <c r="B461" s="12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12"/>
      <c r="B462" s="12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12"/>
      <c r="B463" s="12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12"/>
      <c r="B464" s="12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12"/>
      <c r="B465" s="12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12"/>
      <c r="B466" s="12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12"/>
      <c r="B467" s="12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12"/>
      <c r="B468" s="12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12"/>
      <c r="B469" s="12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12"/>
      <c r="B470" s="12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12"/>
      <c r="B471" s="12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12"/>
      <c r="B472" s="12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12"/>
      <c r="B473" s="12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12"/>
      <c r="B474" s="12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12"/>
      <c r="B475" s="12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12"/>
      <c r="B476" s="12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12"/>
      <c r="B477" s="12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12"/>
      <c r="B478" s="12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12"/>
      <c r="B479" s="12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12"/>
      <c r="B480" s="12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12"/>
      <c r="B481" s="12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12"/>
      <c r="B482" s="12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12"/>
      <c r="B483" s="12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12"/>
      <c r="B484" s="12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12"/>
      <c r="B485" s="12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12"/>
      <c r="B486" s="12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12"/>
      <c r="B487" s="12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12"/>
      <c r="B488" s="12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12"/>
      <c r="B489" s="12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12"/>
      <c r="B490" s="12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12"/>
      <c r="B491" s="12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12"/>
      <c r="B492" s="12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12"/>
      <c r="B493" s="12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12"/>
      <c r="B494" s="12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12"/>
      <c r="B495" s="12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12"/>
      <c r="B496" s="12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12"/>
      <c r="B497" s="12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12"/>
      <c r="B498" s="12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12"/>
      <c r="B499" s="12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12"/>
      <c r="B500" s="12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12"/>
      <c r="B501" s="12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12"/>
      <c r="B502" s="12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12"/>
      <c r="B503" s="12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12"/>
      <c r="B504" s="12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12"/>
      <c r="B505" s="12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12"/>
      <c r="B506" s="12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12"/>
      <c r="B507" s="12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12"/>
      <c r="B508" s="12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12"/>
      <c r="B509" s="12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12"/>
      <c r="B510" s="12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12"/>
      <c r="B511" s="12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12"/>
      <c r="B512" s="12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12"/>
      <c r="B513" s="12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12"/>
      <c r="B514" s="12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12"/>
      <c r="B515" s="12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12"/>
      <c r="B516" s="12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12"/>
      <c r="B517" s="12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12"/>
      <c r="B518" s="12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12"/>
      <c r="B519" s="12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12"/>
      <c r="B520" s="12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12"/>
      <c r="B521" s="12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12"/>
      <c r="B522" s="12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12"/>
      <c r="B523" s="12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12"/>
      <c r="B524" s="12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12"/>
      <c r="B525" s="12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12"/>
      <c r="B526" s="12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12"/>
      <c r="B527" s="12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12"/>
      <c r="B528" s="12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12"/>
      <c r="B529" s="12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12"/>
      <c r="B530" s="12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12"/>
      <c r="B531" s="12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12"/>
      <c r="B532" s="12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12"/>
      <c r="B533" s="12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12"/>
      <c r="B534" s="12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12"/>
      <c r="B535" s="12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12"/>
      <c r="B536" s="12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12"/>
      <c r="B537" s="12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12"/>
      <c r="B538" s="12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12"/>
      <c r="B539" s="12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12"/>
      <c r="B540" s="12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12"/>
      <c r="B541" s="12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12"/>
      <c r="B542" s="12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12"/>
      <c r="B543" s="12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12"/>
      <c r="B544" s="12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12"/>
      <c r="B545" s="12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12"/>
      <c r="B546" s="12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12"/>
      <c r="B547" s="12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12"/>
      <c r="B548" s="12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12"/>
      <c r="B549" s="12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12"/>
      <c r="B550" s="12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12"/>
      <c r="B551" s="12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12"/>
      <c r="B552" s="12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12"/>
      <c r="B553" s="12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12"/>
      <c r="B554" s="12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12"/>
      <c r="B555" s="12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12"/>
      <c r="B556" s="12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12"/>
      <c r="B557" s="12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12"/>
      <c r="B558" s="12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12"/>
      <c r="B559" s="12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12"/>
      <c r="B560" s="12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12"/>
      <c r="B561" s="12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12"/>
      <c r="B562" s="12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12"/>
      <c r="B563" s="12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12"/>
      <c r="B564" s="12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12"/>
      <c r="B565" s="12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12"/>
      <c r="B566" s="12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12"/>
      <c r="B567" s="12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12"/>
      <c r="B568" s="12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12"/>
      <c r="B569" s="12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12"/>
      <c r="B570" s="12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12"/>
      <c r="B571" s="12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12"/>
      <c r="B572" s="12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12"/>
      <c r="B573" s="12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12"/>
      <c r="B574" s="12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12"/>
      <c r="B575" s="12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12"/>
      <c r="B576" s="12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12"/>
      <c r="B577" s="12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12"/>
      <c r="B578" s="12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12"/>
      <c r="B579" s="12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12"/>
      <c r="B580" s="12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12"/>
      <c r="B581" s="12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12"/>
      <c r="B582" s="12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12"/>
      <c r="B583" s="12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12"/>
      <c r="B584" s="12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12"/>
      <c r="B585" s="12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12"/>
      <c r="B586" s="12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12"/>
      <c r="B587" s="12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12"/>
      <c r="B588" s="12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12"/>
      <c r="B589" s="12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12"/>
      <c r="B590" s="12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12"/>
      <c r="B591" s="12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12"/>
      <c r="B592" s="12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12"/>
      <c r="B593" s="12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12"/>
      <c r="B594" s="12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12"/>
      <c r="B595" s="12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12"/>
      <c r="B596" s="12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12"/>
      <c r="B597" s="12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12"/>
      <c r="B598" s="12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12"/>
      <c r="B599" s="12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12"/>
      <c r="B600" s="12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12"/>
      <c r="B601" s="12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12"/>
      <c r="B602" s="12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12"/>
      <c r="B603" s="12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12"/>
      <c r="B604" s="12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12"/>
      <c r="B605" s="12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12"/>
      <c r="B606" s="12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12"/>
      <c r="B607" s="12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12"/>
      <c r="B608" s="12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12"/>
      <c r="B609" s="12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12"/>
      <c r="B610" s="12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12"/>
      <c r="B611" s="12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12"/>
      <c r="B612" s="12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12"/>
      <c r="B613" s="12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12"/>
      <c r="B614" s="12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12"/>
      <c r="B615" s="12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12"/>
      <c r="B616" s="12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12"/>
      <c r="B617" s="12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12"/>
      <c r="B618" s="12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12"/>
      <c r="B619" s="12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12"/>
      <c r="B620" s="12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12"/>
      <c r="B621" s="12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12"/>
      <c r="B622" s="12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12"/>
      <c r="B623" s="12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12"/>
      <c r="B624" s="12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12"/>
      <c r="B625" s="12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12"/>
      <c r="B626" s="12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12"/>
      <c r="B627" s="12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12"/>
      <c r="B628" s="12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12"/>
      <c r="B629" s="12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12"/>
      <c r="B630" s="12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12"/>
      <c r="B631" s="12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12"/>
      <c r="B632" s="12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12"/>
      <c r="B633" s="12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12"/>
      <c r="B634" s="12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12"/>
      <c r="B635" s="12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12"/>
      <c r="B636" s="12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12"/>
      <c r="B637" s="12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12"/>
      <c r="B638" s="12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12"/>
      <c r="B639" s="12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12"/>
      <c r="B640" s="12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12"/>
      <c r="B641" s="12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12"/>
      <c r="B642" s="12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12"/>
      <c r="B643" s="12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12"/>
      <c r="B644" s="12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12"/>
      <c r="B645" s="12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12"/>
      <c r="B646" s="12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12"/>
      <c r="B647" s="12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12"/>
      <c r="B648" s="12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12"/>
      <c r="B649" s="12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12"/>
      <c r="B650" s="12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12"/>
      <c r="B651" s="12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12"/>
      <c r="B652" s="12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12"/>
      <c r="B653" s="12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12"/>
      <c r="B654" s="12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12"/>
      <c r="B655" s="12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12"/>
      <c r="B656" s="12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12"/>
      <c r="B657" s="12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12"/>
      <c r="B658" s="12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12"/>
      <c r="B659" s="12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12"/>
      <c r="B660" s="12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12"/>
      <c r="B661" s="12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12"/>
      <c r="B662" s="12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12"/>
      <c r="B663" s="12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12"/>
      <c r="B664" s="12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12"/>
      <c r="B665" s="12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12"/>
      <c r="B666" s="12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12"/>
      <c r="B667" s="12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12"/>
      <c r="B668" s="12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12"/>
      <c r="B669" s="12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12"/>
      <c r="B670" s="12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12"/>
      <c r="B671" s="12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12"/>
      <c r="B672" s="12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12"/>
      <c r="B673" s="12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12"/>
      <c r="B674" s="12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12"/>
      <c r="B675" s="12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12"/>
      <c r="B676" s="12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12"/>
      <c r="B677" s="12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12"/>
      <c r="B678" s="12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12"/>
      <c r="B679" s="12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12"/>
      <c r="B680" s="12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12"/>
      <c r="B681" s="12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12"/>
      <c r="B682" s="12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12"/>
      <c r="B683" s="12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12"/>
      <c r="B684" s="12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12"/>
      <c r="B685" s="12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12"/>
      <c r="B686" s="12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12"/>
      <c r="B687" s="12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12"/>
      <c r="B688" s="12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12"/>
      <c r="B689" s="12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12"/>
      <c r="B690" s="12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12"/>
      <c r="B691" s="12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12"/>
      <c r="B692" s="12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12"/>
      <c r="B693" s="12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12"/>
      <c r="B694" s="12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12"/>
      <c r="B695" s="12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12"/>
      <c r="B696" s="12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12"/>
      <c r="B697" s="12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12"/>
      <c r="B698" s="12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12"/>
      <c r="B699" s="12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12"/>
      <c r="B700" s="12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12"/>
      <c r="B701" s="12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12"/>
      <c r="B702" s="12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12"/>
      <c r="B703" s="12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12"/>
      <c r="B704" s="12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12"/>
      <c r="B705" s="12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12"/>
      <c r="B706" s="12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12"/>
      <c r="B707" s="12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12"/>
      <c r="B708" s="12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12"/>
      <c r="B709" s="12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12"/>
      <c r="B710" s="12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12"/>
      <c r="B711" s="12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12"/>
      <c r="B712" s="12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12"/>
      <c r="B713" s="12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12"/>
      <c r="B714" s="12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12"/>
      <c r="B715" s="12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12"/>
      <c r="B716" s="12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12"/>
      <c r="B717" s="12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12"/>
      <c r="B718" s="12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12"/>
      <c r="B719" s="12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12"/>
      <c r="B720" s="12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12"/>
      <c r="B721" s="12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12"/>
      <c r="B722" s="12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12"/>
      <c r="B723" s="12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12"/>
      <c r="B724" s="12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12"/>
      <c r="B725" s="12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12"/>
      <c r="B726" s="12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12"/>
      <c r="B727" s="12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12"/>
      <c r="B728" s="12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12"/>
      <c r="B729" s="12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12"/>
      <c r="B730" s="12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12"/>
      <c r="B731" s="12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12"/>
      <c r="B732" s="12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12"/>
      <c r="B733" s="12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12"/>
      <c r="B734" s="12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12"/>
      <c r="B735" s="12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12"/>
      <c r="B736" s="12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12"/>
      <c r="B737" s="12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12"/>
      <c r="B738" s="12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12"/>
      <c r="B739" s="12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12"/>
      <c r="B740" s="12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12"/>
      <c r="B741" s="12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12"/>
      <c r="B742" s="12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12"/>
      <c r="B743" s="12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12"/>
      <c r="B744" s="12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12"/>
      <c r="B745" s="12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12"/>
      <c r="B746" s="12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12"/>
      <c r="B747" s="12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12"/>
      <c r="B748" s="12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12"/>
      <c r="B749" s="12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12"/>
      <c r="B750" s="12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12"/>
      <c r="B751" s="12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12"/>
      <c r="B752" s="12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12"/>
      <c r="B753" s="12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12"/>
      <c r="B754" s="12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12"/>
      <c r="B755" s="12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12"/>
      <c r="B756" s="12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12"/>
      <c r="B757" s="12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12"/>
      <c r="B758" s="12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12"/>
      <c r="B759" s="12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12"/>
      <c r="B760" s="12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12"/>
      <c r="B761" s="12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12"/>
      <c r="B762" s="12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12"/>
      <c r="B763" s="12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12"/>
      <c r="B764" s="12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12"/>
      <c r="B765" s="12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12"/>
      <c r="B766" s="12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12"/>
      <c r="B767" s="12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12"/>
      <c r="B768" s="12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12"/>
      <c r="B769" s="12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12"/>
      <c r="B770" s="12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12"/>
      <c r="B771" s="12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12"/>
      <c r="B772" s="12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12"/>
      <c r="B773" s="12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12"/>
      <c r="B774" s="12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12"/>
      <c r="B775" s="12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12"/>
      <c r="B776" s="12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12"/>
      <c r="B777" s="12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12"/>
      <c r="B778" s="12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12"/>
      <c r="B779" s="12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12"/>
      <c r="B780" s="12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12"/>
      <c r="B781" s="12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12"/>
      <c r="B782" s="12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12"/>
      <c r="B783" s="12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12"/>
      <c r="B784" s="12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12"/>
      <c r="B785" s="12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12"/>
      <c r="B786" s="12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12"/>
      <c r="B787" s="12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12"/>
      <c r="B788" s="12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12"/>
      <c r="B789" s="12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12"/>
      <c r="B790" s="12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12"/>
      <c r="B791" s="12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12"/>
      <c r="B792" s="12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12"/>
      <c r="B793" s="12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12"/>
      <c r="B794" s="12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12"/>
      <c r="B795" s="12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12"/>
      <c r="B796" s="12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12"/>
      <c r="B797" s="12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12"/>
      <c r="B798" s="12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12"/>
      <c r="B799" s="12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12"/>
      <c r="B800" s="12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12"/>
      <c r="B801" s="12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12"/>
      <c r="B802" s="12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12"/>
      <c r="B803" s="12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12"/>
      <c r="B804" s="12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12"/>
      <c r="B805" s="12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12"/>
      <c r="B806" s="12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12"/>
      <c r="B807" s="12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12"/>
      <c r="B808" s="12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12"/>
      <c r="B809" s="12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12"/>
      <c r="B810" s="12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12"/>
      <c r="B811" s="12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12"/>
      <c r="B812" s="12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12"/>
      <c r="B813" s="12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12"/>
      <c r="B814" s="12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12"/>
      <c r="B815" s="12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12"/>
      <c r="B816" s="12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12"/>
      <c r="B817" s="12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12"/>
      <c r="B818" s="12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12"/>
      <c r="B819" s="12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12"/>
      <c r="B820" s="12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12"/>
      <c r="B821" s="12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12"/>
      <c r="B822" s="12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12"/>
      <c r="B823" s="12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12"/>
      <c r="B824" s="12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12"/>
      <c r="B825" s="12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12"/>
      <c r="B826" s="12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12"/>
      <c r="B827" s="12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12"/>
      <c r="B828" s="12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12"/>
      <c r="B829" s="12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12"/>
      <c r="B830" s="12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12"/>
      <c r="B831" s="12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12"/>
      <c r="B832" s="12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12"/>
      <c r="B833" s="12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12"/>
      <c r="B834" s="12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12"/>
      <c r="B835" s="12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12"/>
      <c r="B836" s="12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12"/>
      <c r="B837" s="12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12"/>
      <c r="B838" s="12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12"/>
      <c r="B839" s="12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12"/>
      <c r="B840" s="12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12"/>
      <c r="B841" s="12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12"/>
      <c r="B842" s="12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12"/>
      <c r="B843" s="12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12"/>
      <c r="B844" s="12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12"/>
      <c r="B845" s="12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12"/>
      <c r="B846" s="12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12"/>
      <c r="B847" s="12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12"/>
      <c r="B848" s="12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12"/>
      <c r="B849" s="12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12"/>
      <c r="B850" s="12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12"/>
      <c r="B851" s="12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12"/>
      <c r="B852" s="12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12"/>
      <c r="B853" s="12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12"/>
      <c r="B854" s="12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12"/>
      <c r="B855" s="12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12"/>
      <c r="B856" s="12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12"/>
      <c r="B857" s="12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12"/>
      <c r="B858" s="12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12"/>
      <c r="B859" s="12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12"/>
      <c r="B860" s="12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12"/>
      <c r="B861" s="12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12"/>
      <c r="B862" s="12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12"/>
      <c r="B863" s="12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12"/>
      <c r="B864" s="12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12"/>
      <c r="B865" s="12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12"/>
      <c r="B866" s="12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12"/>
      <c r="B867" s="12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12"/>
      <c r="B868" s="12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12"/>
      <c r="B869" s="12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12"/>
      <c r="B870" s="12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12"/>
      <c r="B871" s="12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12"/>
      <c r="B872" s="12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12"/>
      <c r="B873" s="12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12"/>
      <c r="B874" s="12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12"/>
      <c r="B875" s="12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12"/>
      <c r="B876" s="12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12"/>
      <c r="B877" s="12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12"/>
      <c r="B878" s="12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12"/>
      <c r="B879" s="12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12"/>
      <c r="B880" s="12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12"/>
      <c r="B881" s="12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12"/>
      <c r="B882" s="12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12"/>
      <c r="B883" s="12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12"/>
      <c r="B884" s="12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12"/>
      <c r="B885" s="12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12"/>
      <c r="B886" s="12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12"/>
      <c r="B887" s="12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12"/>
      <c r="B888" s="12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12"/>
      <c r="B889" s="12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12"/>
      <c r="B890" s="12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12"/>
      <c r="B891" s="12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12"/>
      <c r="B892" s="12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12"/>
      <c r="B893" s="12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12"/>
      <c r="B894" s="12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12"/>
      <c r="B895" s="12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12"/>
      <c r="B896" s="12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12"/>
      <c r="B897" s="12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12"/>
      <c r="B898" s="12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12"/>
      <c r="B899" s="12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12"/>
      <c r="B900" s="12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12"/>
      <c r="B901" s="12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12"/>
      <c r="B902" s="12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12"/>
      <c r="B903" s="12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12"/>
      <c r="B904" s="12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12"/>
      <c r="B905" s="12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12"/>
      <c r="B906" s="12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12"/>
      <c r="B907" s="12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12"/>
      <c r="B908" s="12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12"/>
      <c r="B909" s="12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12"/>
      <c r="B910" s="12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12"/>
      <c r="B911" s="12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12"/>
      <c r="B912" s="12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12"/>
      <c r="B913" s="12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12"/>
      <c r="B914" s="12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12"/>
      <c r="B915" s="12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12"/>
      <c r="B916" s="12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12"/>
      <c r="B917" s="12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12"/>
      <c r="B918" s="12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12"/>
      <c r="B919" s="12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12"/>
      <c r="B920" s="12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12"/>
      <c r="B921" s="12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12"/>
      <c r="B922" s="12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12"/>
      <c r="B923" s="12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12"/>
      <c r="B924" s="12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12"/>
      <c r="B925" s="12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12"/>
      <c r="B926" s="12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12"/>
      <c r="B927" s="12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12"/>
      <c r="B928" s="12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12"/>
      <c r="B929" s="12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12"/>
      <c r="B930" s="12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12"/>
      <c r="B931" s="12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12"/>
      <c r="B932" s="12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12"/>
      <c r="B933" s="12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12"/>
      <c r="B934" s="12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12"/>
      <c r="B935" s="12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12"/>
      <c r="B936" s="12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12"/>
      <c r="B937" s="12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12"/>
      <c r="B938" s="12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12"/>
      <c r="B939" s="12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12"/>
      <c r="B940" s="12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12"/>
      <c r="B941" s="12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12"/>
      <c r="B942" s="12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12"/>
      <c r="B943" s="12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12"/>
      <c r="B944" s="12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12"/>
      <c r="B945" s="12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12"/>
      <c r="B946" s="12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12"/>
      <c r="B947" s="12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12"/>
      <c r="B948" s="12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12"/>
      <c r="B949" s="12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12"/>
      <c r="B950" s="12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12"/>
      <c r="B951" s="12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12"/>
      <c r="B952" s="12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12"/>
      <c r="B953" s="12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12"/>
      <c r="B954" s="12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12"/>
      <c r="B955" s="12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12"/>
      <c r="B956" s="12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12"/>
      <c r="B957" s="12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12"/>
      <c r="B958" s="12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12"/>
      <c r="B959" s="12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12"/>
      <c r="B960" s="12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12"/>
      <c r="B961" s="12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12"/>
      <c r="B962" s="12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12"/>
      <c r="B963" s="12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12"/>
      <c r="B964" s="12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12"/>
      <c r="B965" s="12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12"/>
      <c r="B966" s="12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12"/>
      <c r="B967" s="12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12"/>
      <c r="B968" s="12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12"/>
      <c r="B969" s="12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12"/>
      <c r="B970" s="12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12"/>
      <c r="B971" s="12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12"/>
      <c r="B972" s="12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12"/>
      <c r="B973" s="12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12"/>
      <c r="B974" s="12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12"/>
      <c r="B975" s="12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12"/>
      <c r="B976" s="12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12"/>
      <c r="B977" s="12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12"/>
      <c r="B978" s="12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12"/>
      <c r="B979" s="12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12"/>
      <c r="B980" s="12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12"/>
      <c r="B981" s="12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12"/>
      <c r="B982" s="12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12"/>
      <c r="B983" s="12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12"/>
      <c r="B984" s="12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12"/>
      <c r="B985" s="12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12"/>
      <c r="B986" s="12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12"/>
      <c r="B987" s="12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12"/>
      <c r="B988" s="12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12"/>
      <c r="B989" s="12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12"/>
      <c r="B990" s="12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12"/>
      <c r="B991" s="12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12"/>
      <c r="B992" s="12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12"/>
      <c r="B993" s="12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12"/>
      <c r="B994" s="12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12"/>
      <c r="B995" s="12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12"/>
      <c r="B996" s="12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12"/>
      <c r="B997" s="12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12"/>
      <c r="B998" s="12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12"/>
      <c r="B999" s="12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12"/>
      <c r="B1000" s="12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C2:E2"/>
    <mergeCell ref="C4:E4"/>
    <mergeCell ref="C5:E5"/>
  </mergeCells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6.71"/>
    <col customWidth="1" min="3" max="3" width="16.71"/>
    <col customWidth="1" min="4" max="4" width="20.57"/>
    <col customWidth="1" min="5" max="5" width="15.71"/>
    <col customWidth="1" min="6" max="6" width="12.71"/>
    <col customWidth="1" min="7" max="7" width="10.43"/>
    <col customWidth="1" min="8" max="8" width="2.71"/>
    <col customWidth="1" min="9" max="65" width="5.71"/>
    <col customWidth="1" min="66" max="68" width="8.86"/>
  </cols>
  <sheetData>
    <row r="1" ht="24.75" customHeight="1">
      <c r="A1" s="15"/>
      <c r="F1" s="16"/>
    </row>
    <row r="2" ht="49.5" customHeight="1">
      <c r="A2" s="17" t="s">
        <v>0</v>
      </c>
      <c r="B2" s="18" t="s">
        <v>1</v>
      </c>
      <c r="C2" s="5"/>
      <c r="D2" s="5"/>
      <c r="E2" s="5"/>
      <c r="F2" s="5"/>
      <c r="G2" s="5"/>
      <c r="H2" s="6"/>
      <c r="I2" s="19"/>
      <c r="J2" s="5"/>
      <c r="K2" s="5"/>
      <c r="L2" s="5"/>
      <c r="M2" s="5"/>
      <c r="N2" s="6"/>
      <c r="O2" s="20"/>
      <c r="P2" s="5"/>
      <c r="Q2" s="5"/>
      <c r="R2" s="5"/>
      <c r="S2" s="5"/>
      <c r="T2" s="6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</row>
    <row r="3" ht="19.5" customHeight="1">
      <c r="A3" s="17"/>
      <c r="B3" s="22"/>
      <c r="C3" s="23"/>
      <c r="D3" s="24"/>
      <c r="E3" s="24"/>
      <c r="F3" s="25"/>
      <c r="G3" s="24"/>
      <c r="H3" s="24"/>
      <c r="I3" s="26"/>
      <c r="J3" s="27"/>
      <c r="K3" s="27"/>
      <c r="L3" s="27"/>
    </row>
    <row r="4" ht="30.0" customHeight="1">
      <c r="A4" s="17"/>
      <c r="B4" s="28" t="s">
        <v>2</v>
      </c>
      <c r="C4" s="29"/>
      <c r="D4" s="30"/>
      <c r="E4" s="31"/>
      <c r="F4" s="32"/>
      <c r="G4" s="33" t="s">
        <v>3</v>
      </c>
      <c r="H4" s="31"/>
      <c r="I4" s="34" t="s">
        <v>4</v>
      </c>
      <c r="J4" s="5"/>
      <c r="K4" s="5"/>
      <c r="L4" s="6"/>
      <c r="N4" s="35" t="s">
        <v>5</v>
      </c>
      <c r="O4" s="5"/>
      <c r="P4" s="5"/>
      <c r="Q4" s="6"/>
      <c r="S4" s="36" t="s">
        <v>6</v>
      </c>
      <c r="T4" s="5"/>
      <c r="U4" s="5"/>
      <c r="V4" s="6"/>
      <c r="X4" s="37" t="s">
        <v>7</v>
      </c>
      <c r="Y4" s="5"/>
      <c r="Z4" s="5"/>
      <c r="AA4" s="6"/>
      <c r="AC4" s="38" t="s">
        <v>8</v>
      </c>
      <c r="AD4" s="5"/>
      <c r="AE4" s="5"/>
      <c r="AF4" s="6"/>
    </row>
    <row r="5" ht="30.0" customHeight="1">
      <c r="A5" s="17" t="s">
        <v>9</v>
      </c>
      <c r="B5" s="28" t="s">
        <v>10</v>
      </c>
      <c r="C5" s="30"/>
      <c r="D5" s="30"/>
      <c r="E5" s="31"/>
      <c r="F5" s="32"/>
      <c r="G5" s="31"/>
      <c r="H5" s="31"/>
    </row>
    <row r="6" ht="30.0" customHeight="1">
      <c r="A6" s="17"/>
      <c r="B6" s="30" t="s">
        <v>11</v>
      </c>
      <c r="C6" s="39">
        <f t="array" ref="C6">IFERROR(IF(MIN(Claro!$F$10:$F$36)=0,TODAY(),B11(#NULL!)),TODAY())</f>
        <v>46101</v>
      </c>
      <c r="D6" s="39"/>
      <c r="E6" s="31"/>
      <c r="F6" s="32"/>
      <c r="G6" s="31"/>
      <c r="H6" s="31"/>
      <c r="I6" s="40" t="str">
        <f>TEXT(I7,"mmmm")</f>
        <v>março</v>
      </c>
      <c r="J6" s="40"/>
      <c r="K6" s="40"/>
      <c r="L6" s="40"/>
      <c r="M6" s="40"/>
      <c r="N6" s="40"/>
      <c r="O6" s="40"/>
      <c r="P6" s="40" t="str">
        <f>IF(TEXT(P7,"mmmm")=I6,"",TEXT(P7,"mmmm"))</f>
        <v/>
      </c>
      <c r="Q6" s="40"/>
      <c r="R6" s="40"/>
      <c r="S6" s="40"/>
      <c r="T6" s="40"/>
      <c r="U6" s="40"/>
      <c r="V6" s="40"/>
      <c r="W6" s="40" t="str">
        <f>IF(OR(TEXT(W7,"mmmm")=P6,TEXT(W7,"mmmm")=I6),"",TEXT(W7,"mmmm"))</f>
        <v>abril</v>
      </c>
      <c r="X6" s="40"/>
      <c r="Y6" s="40"/>
      <c r="Z6" s="40"/>
      <c r="AA6" s="40"/>
      <c r="AB6" s="40"/>
      <c r="AC6" s="40"/>
      <c r="AD6" s="40" t="str">
        <f>IF(OR(TEXT(AD7,"mmmm")=W6,TEXT(AD7,"mmmm")=P6,TEXT(AD7,"mmmm")=I6),"",TEXT(AD7,"mmmm"))</f>
        <v/>
      </c>
      <c r="AE6" s="40"/>
      <c r="AF6" s="40"/>
      <c r="AG6" s="40"/>
      <c r="AH6" s="40"/>
      <c r="AI6" s="40"/>
      <c r="AJ6" s="40"/>
      <c r="AK6" s="40" t="str">
        <f>IF(OR(TEXT(AK7,"mmmm")=AD6,TEXT(AK7,"mmmm")=W6,TEXT(AK7,"mmmm")=P6,TEXT(AK7,"mmmm")=I6),"",TEXT(AK7,"mmmm"))</f>
        <v/>
      </c>
      <c r="AL6" s="40"/>
      <c r="AM6" s="40"/>
      <c r="AN6" s="40"/>
      <c r="AO6" s="40"/>
      <c r="AP6" s="40"/>
      <c r="AQ6" s="40"/>
      <c r="AR6" s="40" t="str">
        <f>IF(OR(TEXT(AR7,"mmmm")=AK6,TEXT(AR7,"mmmm")=AD6,TEXT(AR7,"mmmm")=W6,TEXT(AR7,"mmmm")=P6),"",TEXT(AR7,"mmmm"))</f>
        <v/>
      </c>
      <c r="AS6" s="40"/>
      <c r="AT6" s="40"/>
      <c r="AU6" s="40"/>
      <c r="AV6" s="40"/>
      <c r="AW6" s="40"/>
      <c r="AX6" s="41"/>
      <c r="AY6" s="41" t="str">
        <f>IF(OR(TEXT(AY7,"mmmm")=AR6,TEXT(AY7,"mmmm")=AK6,TEXT(AY7,"mmmm")=AD6,TEXT(AY7,"mmmm")=W6),"",TEXT(AY7,"mmmm"))</f>
        <v>maio</v>
      </c>
      <c r="AZ6" s="41"/>
      <c r="BA6" s="41"/>
      <c r="BB6" s="42"/>
      <c r="BC6" s="43"/>
      <c r="BD6" s="43"/>
      <c r="BE6" s="43"/>
      <c r="BF6" s="43" t="str">
        <f>IF(OR(TEXT(BF7,"mmmm")=AY6,TEXT(BF7,"mmmm")=AR6,TEXT(BF7,"mmmm")=AK6,TEXT(BF7,"mmmm")=AD6),"",TEXT(BF7,"mmmm"))</f>
        <v/>
      </c>
      <c r="BG6" s="43"/>
      <c r="BH6" s="43"/>
      <c r="BI6" s="43"/>
      <c r="BJ6" s="43"/>
      <c r="BK6" s="43"/>
      <c r="BL6" s="43"/>
    </row>
    <row r="7" ht="30.0" customHeight="1">
      <c r="A7" s="17"/>
      <c r="B7" s="30" t="s">
        <v>12</v>
      </c>
      <c r="C7" s="30">
        <v>1.0</v>
      </c>
      <c r="D7" s="30"/>
      <c r="E7" s="31"/>
      <c r="F7" s="31"/>
      <c r="G7" s="31"/>
      <c r="H7" s="44"/>
      <c r="I7" s="45">
        <f>IFERROR(Claro!Projeto_Início+Claro!Incremento_de_Deslocamento,TODAY())</f>
        <v>46102</v>
      </c>
      <c r="J7" s="46">
        <f t="shared" ref="J7:BL7" si="1">I7+1</f>
        <v>46103</v>
      </c>
      <c r="K7" s="46">
        <f t="shared" si="1"/>
        <v>46104</v>
      </c>
      <c r="L7" s="46">
        <f t="shared" si="1"/>
        <v>46105</v>
      </c>
      <c r="M7" s="46">
        <f t="shared" si="1"/>
        <v>46106</v>
      </c>
      <c r="N7" s="46">
        <f t="shared" si="1"/>
        <v>46107</v>
      </c>
      <c r="O7" s="47">
        <f t="shared" si="1"/>
        <v>46108</v>
      </c>
      <c r="P7" s="46">
        <f t="shared" si="1"/>
        <v>46109</v>
      </c>
      <c r="Q7" s="46">
        <f t="shared" si="1"/>
        <v>46110</v>
      </c>
      <c r="R7" s="46">
        <f t="shared" si="1"/>
        <v>46111</v>
      </c>
      <c r="S7" s="46">
        <f t="shared" si="1"/>
        <v>46112</v>
      </c>
      <c r="T7" s="46">
        <f t="shared" si="1"/>
        <v>46113</v>
      </c>
      <c r="U7" s="46">
        <f t="shared" si="1"/>
        <v>46114</v>
      </c>
      <c r="V7" s="47">
        <f t="shared" si="1"/>
        <v>46115</v>
      </c>
      <c r="W7" s="46">
        <f t="shared" si="1"/>
        <v>46116</v>
      </c>
      <c r="X7" s="46">
        <f t="shared" si="1"/>
        <v>46117</v>
      </c>
      <c r="Y7" s="46">
        <f t="shared" si="1"/>
        <v>46118</v>
      </c>
      <c r="Z7" s="46">
        <f t="shared" si="1"/>
        <v>46119</v>
      </c>
      <c r="AA7" s="46">
        <f t="shared" si="1"/>
        <v>46120</v>
      </c>
      <c r="AB7" s="46">
        <f t="shared" si="1"/>
        <v>46121</v>
      </c>
      <c r="AC7" s="47">
        <f t="shared" si="1"/>
        <v>46122</v>
      </c>
      <c r="AD7" s="46">
        <f t="shared" si="1"/>
        <v>46123</v>
      </c>
      <c r="AE7" s="46">
        <f t="shared" si="1"/>
        <v>46124</v>
      </c>
      <c r="AF7" s="46">
        <f t="shared" si="1"/>
        <v>46125</v>
      </c>
      <c r="AG7" s="46">
        <f t="shared" si="1"/>
        <v>46126</v>
      </c>
      <c r="AH7" s="46">
        <f t="shared" si="1"/>
        <v>46127</v>
      </c>
      <c r="AI7" s="46">
        <f t="shared" si="1"/>
        <v>46128</v>
      </c>
      <c r="AJ7" s="47">
        <f t="shared" si="1"/>
        <v>46129</v>
      </c>
      <c r="AK7" s="46">
        <f t="shared" si="1"/>
        <v>46130</v>
      </c>
      <c r="AL7" s="46">
        <f t="shared" si="1"/>
        <v>46131</v>
      </c>
      <c r="AM7" s="46">
        <f t="shared" si="1"/>
        <v>46132</v>
      </c>
      <c r="AN7" s="46">
        <f t="shared" si="1"/>
        <v>46133</v>
      </c>
      <c r="AO7" s="46">
        <f t="shared" si="1"/>
        <v>46134</v>
      </c>
      <c r="AP7" s="46">
        <f t="shared" si="1"/>
        <v>46135</v>
      </c>
      <c r="AQ7" s="47">
        <f t="shared" si="1"/>
        <v>46136</v>
      </c>
      <c r="AR7" s="46">
        <f t="shared" si="1"/>
        <v>46137</v>
      </c>
      <c r="AS7" s="46">
        <f t="shared" si="1"/>
        <v>46138</v>
      </c>
      <c r="AT7" s="46">
        <f t="shared" si="1"/>
        <v>46139</v>
      </c>
      <c r="AU7" s="46">
        <f t="shared" si="1"/>
        <v>46140</v>
      </c>
      <c r="AV7" s="46">
        <f t="shared" si="1"/>
        <v>46141</v>
      </c>
      <c r="AW7" s="46">
        <f t="shared" si="1"/>
        <v>46142</v>
      </c>
      <c r="AX7" s="47">
        <f t="shared" si="1"/>
        <v>46143</v>
      </c>
      <c r="AY7" s="46">
        <f t="shared" si="1"/>
        <v>46144</v>
      </c>
      <c r="AZ7" s="46">
        <f t="shared" si="1"/>
        <v>46145</v>
      </c>
      <c r="BA7" s="46">
        <f t="shared" si="1"/>
        <v>46146</v>
      </c>
      <c r="BB7" s="46">
        <f t="shared" si="1"/>
        <v>46147</v>
      </c>
      <c r="BC7" s="46">
        <f t="shared" si="1"/>
        <v>46148</v>
      </c>
      <c r="BD7" s="46">
        <f t="shared" si="1"/>
        <v>46149</v>
      </c>
      <c r="BE7" s="47">
        <f t="shared" si="1"/>
        <v>46150</v>
      </c>
      <c r="BF7" s="46">
        <f t="shared" si="1"/>
        <v>46151</v>
      </c>
      <c r="BG7" s="46">
        <f t="shared" si="1"/>
        <v>46152</v>
      </c>
      <c r="BH7" s="46">
        <f t="shared" si="1"/>
        <v>46153</v>
      </c>
      <c r="BI7" s="46">
        <f t="shared" si="1"/>
        <v>46154</v>
      </c>
      <c r="BJ7" s="46">
        <f t="shared" si="1"/>
        <v>46155</v>
      </c>
      <c r="BK7" s="46">
        <f t="shared" si="1"/>
        <v>46156</v>
      </c>
      <c r="BL7" s="47">
        <f t="shared" si="1"/>
        <v>46157</v>
      </c>
    </row>
    <row r="8" ht="19.5" customHeight="1">
      <c r="A8" s="17"/>
      <c r="B8" s="30"/>
      <c r="C8" s="30"/>
      <c r="D8" s="30"/>
      <c r="E8" s="31"/>
      <c r="F8" s="31"/>
      <c r="G8" s="31"/>
      <c r="H8" s="44"/>
      <c r="I8" s="48"/>
      <c r="J8" s="49"/>
      <c r="K8" s="49"/>
      <c r="L8" s="49"/>
      <c r="M8" s="49"/>
      <c r="N8" s="49"/>
      <c r="O8" s="49"/>
      <c r="P8" s="50"/>
      <c r="Q8" s="49"/>
      <c r="R8" s="49"/>
      <c r="S8" s="49"/>
      <c r="T8" s="49"/>
      <c r="U8" s="49"/>
      <c r="V8" s="51"/>
      <c r="W8" s="49"/>
      <c r="X8" s="49"/>
      <c r="Y8" s="49"/>
      <c r="Z8" s="49"/>
      <c r="AA8" s="49"/>
      <c r="AB8" s="49"/>
      <c r="AC8" s="51"/>
      <c r="AD8" s="49"/>
      <c r="AE8" s="49"/>
      <c r="AF8" s="49"/>
      <c r="AG8" s="49"/>
      <c r="AH8" s="49"/>
      <c r="AI8" s="49"/>
      <c r="AJ8" s="51"/>
      <c r="AK8" s="49"/>
      <c r="AL8" s="49"/>
      <c r="AM8" s="49"/>
      <c r="AN8" s="49"/>
      <c r="AO8" s="49"/>
      <c r="AP8" s="49"/>
      <c r="AQ8" s="51"/>
      <c r="AR8" s="49"/>
      <c r="AS8" s="49"/>
      <c r="AT8" s="49"/>
      <c r="AU8" s="49"/>
      <c r="AV8" s="49"/>
      <c r="AW8" s="49"/>
      <c r="AX8" s="51"/>
      <c r="AY8" s="49"/>
      <c r="AZ8" s="49"/>
      <c r="BA8" s="49"/>
      <c r="BB8" s="49"/>
      <c r="BC8" s="49"/>
      <c r="BD8" s="49"/>
      <c r="BE8" s="51"/>
      <c r="BF8" s="49"/>
      <c r="BG8" s="49"/>
      <c r="BH8" s="49"/>
      <c r="BI8" s="49"/>
      <c r="BJ8" s="49"/>
      <c r="BK8" s="49"/>
      <c r="BL8" s="52"/>
    </row>
    <row r="9" ht="39.75" customHeight="1">
      <c r="A9" s="17" t="s">
        <v>13</v>
      </c>
      <c r="B9" s="53" t="s">
        <v>14</v>
      </c>
      <c r="C9" s="54" t="s">
        <v>15</v>
      </c>
      <c r="D9" s="54" t="s">
        <v>16</v>
      </c>
      <c r="E9" s="54" t="s">
        <v>17</v>
      </c>
      <c r="F9" s="54" t="s">
        <v>18</v>
      </c>
      <c r="G9" s="54" t="s">
        <v>19</v>
      </c>
      <c r="H9" s="55"/>
      <c r="I9" s="56" t="str">
        <f t="shared" ref="I9:BL9" si="2">LEFT(TEXT(I7,"ddd"),1)</f>
        <v>s</v>
      </c>
      <c r="J9" s="56" t="str">
        <f t="shared" si="2"/>
        <v>d</v>
      </c>
      <c r="K9" s="56" t="str">
        <f t="shared" si="2"/>
        <v>s</v>
      </c>
      <c r="L9" s="56" t="str">
        <f t="shared" si="2"/>
        <v>t</v>
      </c>
      <c r="M9" s="56" t="str">
        <f t="shared" si="2"/>
        <v>q</v>
      </c>
      <c r="N9" s="56" t="str">
        <f t="shared" si="2"/>
        <v>q</v>
      </c>
      <c r="O9" s="56" t="str">
        <f t="shared" si="2"/>
        <v>s</v>
      </c>
      <c r="P9" s="56" t="str">
        <f t="shared" si="2"/>
        <v>s</v>
      </c>
      <c r="Q9" s="56" t="str">
        <f t="shared" si="2"/>
        <v>d</v>
      </c>
      <c r="R9" s="56" t="str">
        <f t="shared" si="2"/>
        <v>s</v>
      </c>
      <c r="S9" s="56" t="str">
        <f t="shared" si="2"/>
        <v>t</v>
      </c>
      <c r="T9" s="56" t="str">
        <f t="shared" si="2"/>
        <v>q</v>
      </c>
      <c r="U9" s="56" t="str">
        <f t="shared" si="2"/>
        <v>q</v>
      </c>
      <c r="V9" s="56" t="str">
        <f t="shared" si="2"/>
        <v>s</v>
      </c>
      <c r="W9" s="56" t="str">
        <f t="shared" si="2"/>
        <v>s</v>
      </c>
      <c r="X9" s="56" t="str">
        <f t="shared" si="2"/>
        <v>d</v>
      </c>
      <c r="Y9" s="56" t="str">
        <f t="shared" si="2"/>
        <v>s</v>
      </c>
      <c r="Z9" s="56" t="str">
        <f t="shared" si="2"/>
        <v>t</v>
      </c>
      <c r="AA9" s="56" t="str">
        <f t="shared" si="2"/>
        <v>q</v>
      </c>
      <c r="AB9" s="56" t="str">
        <f t="shared" si="2"/>
        <v>q</v>
      </c>
      <c r="AC9" s="56" t="str">
        <f t="shared" si="2"/>
        <v>s</v>
      </c>
      <c r="AD9" s="56" t="str">
        <f t="shared" si="2"/>
        <v>s</v>
      </c>
      <c r="AE9" s="56" t="str">
        <f t="shared" si="2"/>
        <v>d</v>
      </c>
      <c r="AF9" s="56" t="str">
        <f t="shared" si="2"/>
        <v>s</v>
      </c>
      <c r="AG9" s="56" t="str">
        <f t="shared" si="2"/>
        <v>t</v>
      </c>
      <c r="AH9" s="56" t="str">
        <f t="shared" si="2"/>
        <v>q</v>
      </c>
      <c r="AI9" s="56" t="str">
        <f t="shared" si="2"/>
        <v>q</v>
      </c>
      <c r="AJ9" s="56" t="str">
        <f t="shared" si="2"/>
        <v>s</v>
      </c>
      <c r="AK9" s="56" t="str">
        <f t="shared" si="2"/>
        <v>s</v>
      </c>
      <c r="AL9" s="56" t="str">
        <f t="shared" si="2"/>
        <v>d</v>
      </c>
      <c r="AM9" s="56" t="str">
        <f t="shared" si="2"/>
        <v>s</v>
      </c>
      <c r="AN9" s="56" t="str">
        <f t="shared" si="2"/>
        <v>t</v>
      </c>
      <c r="AO9" s="56" t="str">
        <f t="shared" si="2"/>
        <v>q</v>
      </c>
      <c r="AP9" s="56" t="str">
        <f t="shared" si="2"/>
        <v>q</v>
      </c>
      <c r="AQ9" s="56" t="str">
        <f t="shared" si="2"/>
        <v>s</v>
      </c>
      <c r="AR9" s="56" t="str">
        <f t="shared" si="2"/>
        <v>s</v>
      </c>
      <c r="AS9" s="56" t="str">
        <f t="shared" si="2"/>
        <v>d</v>
      </c>
      <c r="AT9" s="56" t="str">
        <f t="shared" si="2"/>
        <v>s</v>
      </c>
      <c r="AU9" s="56" t="str">
        <f t="shared" si="2"/>
        <v>t</v>
      </c>
      <c r="AV9" s="56" t="str">
        <f t="shared" si="2"/>
        <v>q</v>
      </c>
      <c r="AW9" s="56" t="str">
        <f t="shared" si="2"/>
        <v>q</v>
      </c>
      <c r="AX9" s="56" t="str">
        <f t="shared" si="2"/>
        <v>s</v>
      </c>
      <c r="AY9" s="56" t="str">
        <f t="shared" si="2"/>
        <v>s</v>
      </c>
      <c r="AZ9" s="56" t="str">
        <f t="shared" si="2"/>
        <v>d</v>
      </c>
      <c r="BA9" s="56" t="str">
        <f t="shared" si="2"/>
        <v>s</v>
      </c>
      <c r="BB9" s="56" t="str">
        <f t="shared" si="2"/>
        <v>t</v>
      </c>
      <c r="BC9" s="56" t="str">
        <f t="shared" si="2"/>
        <v>q</v>
      </c>
      <c r="BD9" s="56" t="str">
        <f t="shared" si="2"/>
        <v>q</v>
      </c>
      <c r="BE9" s="56" t="str">
        <f t="shared" si="2"/>
        <v>s</v>
      </c>
      <c r="BF9" s="56" t="str">
        <f t="shared" si="2"/>
        <v>s</v>
      </c>
      <c r="BG9" s="56" t="str">
        <f t="shared" si="2"/>
        <v>d</v>
      </c>
      <c r="BH9" s="56" t="str">
        <f t="shared" si="2"/>
        <v>s</v>
      </c>
      <c r="BI9" s="56" t="str">
        <f t="shared" si="2"/>
        <v>t</v>
      </c>
      <c r="BJ9" s="56" t="str">
        <f t="shared" si="2"/>
        <v>q</v>
      </c>
      <c r="BK9" s="56" t="str">
        <f t="shared" si="2"/>
        <v>q</v>
      </c>
      <c r="BL9" s="56" t="str">
        <f t="shared" si="2"/>
        <v>s</v>
      </c>
    </row>
    <row r="10" ht="30.0" hidden="1" customHeight="1">
      <c r="A10" s="15"/>
      <c r="B10" s="57"/>
      <c r="C10" s="58"/>
      <c r="D10" s="59"/>
      <c r="E10" s="58"/>
      <c r="F10" s="60"/>
      <c r="G10" s="61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</row>
    <row r="11" ht="39.75" customHeight="1">
      <c r="A11" s="17" t="s">
        <v>20</v>
      </c>
      <c r="B11" s="63" t="s">
        <v>21</v>
      </c>
      <c r="C11" s="64"/>
      <c r="D11" s="64"/>
      <c r="E11" s="65"/>
      <c r="F11" s="66"/>
      <c r="G11" s="67"/>
      <c r="H11" s="64"/>
      <c r="I11" s="68" t="str">
        <f t="shared" ref="I11:BL11" si="3">IF(AND($C11="Objetivo",I$7&gt;=$F11,I$7&lt;=$F11+$G11-1),2,IF(AND($C11="Marco",I$7&gt;=$F11,I$7&lt;=$F11+$G11-1),1,""))</f>
        <v/>
      </c>
      <c r="J11" s="68" t="str">
        <f t="shared" si="3"/>
        <v/>
      </c>
      <c r="K11" s="68" t="str">
        <f t="shared" si="3"/>
        <v/>
      </c>
      <c r="L11" s="68" t="str">
        <f t="shared" si="3"/>
        <v/>
      </c>
      <c r="M11" s="68" t="str">
        <f t="shared" si="3"/>
        <v/>
      </c>
      <c r="N11" s="68" t="str">
        <f t="shared" si="3"/>
        <v/>
      </c>
      <c r="O11" s="68" t="str">
        <f t="shared" si="3"/>
        <v/>
      </c>
      <c r="P11" s="68" t="str">
        <f t="shared" si="3"/>
        <v/>
      </c>
      <c r="Q11" s="68" t="str">
        <f t="shared" si="3"/>
        <v/>
      </c>
      <c r="R11" s="68" t="str">
        <f t="shared" si="3"/>
        <v/>
      </c>
      <c r="S11" s="68" t="str">
        <f t="shared" si="3"/>
        <v/>
      </c>
      <c r="T11" s="68" t="str">
        <f t="shared" si="3"/>
        <v/>
      </c>
      <c r="U11" s="68" t="str">
        <f t="shared" si="3"/>
        <v/>
      </c>
      <c r="V11" s="68" t="str">
        <f t="shared" si="3"/>
        <v/>
      </c>
      <c r="W11" s="68" t="str">
        <f t="shared" si="3"/>
        <v/>
      </c>
      <c r="X11" s="68" t="str">
        <f t="shared" si="3"/>
        <v/>
      </c>
      <c r="Y11" s="68" t="str">
        <f t="shared" si="3"/>
        <v/>
      </c>
      <c r="Z11" s="68" t="str">
        <f t="shared" si="3"/>
        <v/>
      </c>
      <c r="AA11" s="68" t="str">
        <f t="shared" si="3"/>
        <v/>
      </c>
      <c r="AB11" s="68" t="str">
        <f t="shared" si="3"/>
        <v/>
      </c>
      <c r="AC11" s="68" t="str">
        <f t="shared" si="3"/>
        <v/>
      </c>
      <c r="AD11" s="68" t="str">
        <f t="shared" si="3"/>
        <v/>
      </c>
      <c r="AE11" s="68" t="str">
        <f t="shared" si="3"/>
        <v/>
      </c>
      <c r="AF11" s="68" t="str">
        <f t="shared" si="3"/>
        <v/>
      </c>
      <c r="AG11" s="68" t="str">
        <f t="shared" si="3"/>
        <v/>
      </c>
      <c r="AH11" s="68" t="str">
        <f t="shared" si="3"/>
        <v/>
      </c>
      <c r="AI11" s="68" t="str">
        <f t="shared" si="3"/>
        <v/>
      </c>
      <c r="AJ11" s="68" t="str">
        <f t="shared" si="3"/>
        <v/>
      </c>
      <c r="AK11" s="68" t="str">
        <f t="shared" si="3"/>
        <v/>
      </c>
      <c r="AL11" s="68" t="str">
        <f t="shared" si="3"/>
        <v/>
      </c>
      <c r="AM11" s="68" t="str">
        <f t="shared" si="3"/>
        <v/>
      </c>
      <c r="AN11" s="68" t="str">
        <f t="shared" si="3"/>
        <v/>
      </c>
      <c r="AO11" s="68" t="str">
        <f t="shared" si="3"/>
        <v/>
      </c>
      <c r="AP11" s="68" t="str">
        <f t="shared" si="3"/>
        <v/>
      </c>
      <c r="AQ11" s="68" t="str">
        <f t="shared" si="3"/>
        <v/>
      </c>
      <c r="AR11" s="68" t="str">
        <f t="shared" si="3"/>
        <v/>
      </c>
      <c r="AS11" s="68" t="str">
        <f t="shared" si="3"/>
        <v/>
      </c>
      <c r="AT11" s="68" t="str">
        <f t="shared" si="3"/>
        <v/>
      </c>
      <c r="AU11" s="68" t="str">
        <f t="shared" si="3"/>
        <v/>
      </c>
      <c r="AV11" s="68" t="str">
        <f t="shared" si="3"/>
        <v/>
      </c>
      <c r="AW11" s="68" t="str">
        <f t="shared" si="3"/>
        <v/>
      </c>
      <c r="AX11" s="68" t="str">
        <f t="shared" si="3"/>
        <v/>
      </c>
      <c r="AY11" s="68" t="str">
        <f t="shared" si="3"/>
        <v/>
      </c>
      <c r="AZ11" s="68" t="str">
        <f t="shared" si="3"/>
        <v/>
      </c>
      <c r="BA11" s="68" t="str">
        <f t="shared" si="3"/>
        <v/>
      </c>
      <c r="BB11" s="68" t="str">
        <f t="shared" si="3"/>
        <v/>
      </c>
      <c r="BC11" s="68" t="str">
        <f t="shared" si="3"/>
        <v/>
      </c>
      <c r="BD11" s="68" t="str">
        <f t="shared" si="3"/>
        <v/>
      </c>
      <c r="BE11" s="68" t="str">
        <f t="shared" si="3"/>
        <v/>
      </c>
      <c r="BF11" s="68" t="str">
        <f t="shared" si="3"/>
        <v/>
      </c>
      <c r="BG11" s="68" t="str">
        <f t="shared" si="3"/>
        <v/>
      </c>
      <c r="BH11" s="68" t="str">
        <f t="shared" si="3"/>
        <v/>
      </c>
      <c r="BI11" s="68" t="str">
        <f t="shared" si="3"/>
        <v/>
      </c>
      <c r="BJ11" s="68" t="str">
        <f t="shared" si="3"/>
        <v/>
      </c>
      <c r="BK11" s="68" t="str">
        <f t="shared" si="3"/>
        <v/>
      </c>
      <c r="BL11" s="68" t="str">
        <f t="shared" si="3"/>
        <v/>
      </c>
      <c r="BM11" s="27"/>
      <c r="BN11" s="27"/>
      <c r="BO11" s="27"/>
      <c r="BP11" s="69"/>
    </row>
    <row r="12" ht="39.75" customHeight="1">
      <c r="A12" s="17"/>
      <c r="B12" s="70" t="s">
        <v>22</v>
      </c>
      <c r="C12" s="64" t="s">
        <v>23</v>
      </c>
      <c r="D12" s="64" t="s">
        <v>24</v>
      </c>
      <c r="E12" s="65">
        <v>0.25</v>
      </c>
      <c r="F12" s="66">
        <f>TODAY()</f>
        <v>46101</v>
      </c>
      <c r="G12" s="67">
        <v>3.0</v>
      </c>
      <c r="H12" s="64"/>
      <c r="I12" s="68">
        <f t="shared" ref="I12:BL12" si="4">IF(AND($C12="Objetivo",I$7&gt;=$F12,I$7&lt;=$F12+$G12-1),2,IF(AND($C12="Marco",I$7&gt;=$F12,I$7&lt;=$F12+$G12-1),1,""))</f>
        <v>2</v>
      </c>
      <c r="J12" s="68">
        <f t="shared" si="4"/>
        <v>2</v>
      </c>
      <c r="K12" s="68" t="str">
        <f t="shared" si="4"/>
        <v/>
      </c>
      <c r="L12" s="68" t="str">
        <f t="shared" si="4"/>
        <v/>
      </c>
      <c r="M12" s="68" t="str">
        <f t="shared" si="4"/>
        <v/>
      </c>
      <c r="N12" s="68" t="str">
        <f t="shared" si="4"/>
        <v/>
      </c>
      <c r="O12" s="68" t="str">
        <f t="shared" si="4"/>
        <v/>
      </c>
      <c r="P12" s="68" t="str">
        <f t="shared" si="4"/>
        <v/>
      </c>
      <c r="Q12" s="68" t="str">
        <f t="shared" si="4"/>
        <v/>
      </c>
      <c r="R12" s="68" t="str">
        <f t="shared" si="4"/>
        <v/>
      </c>
      <c r="S12" s="68" t="str">
        <f t="shared" si="4"/>
        <v/>
      </c>
      <c r="T12" s="68" t="str">
        <f t="shared" si="4"/>
        <v/>
      </c>
      <c r="U12" s="68" t="str">
        <f t="shared" si="4"/>
        <v/>
      </c>
      <c r="V12" s="68" t="str">
        <f t="shared" si="4"/>
        <v/>
      </c>
      <c r="W12" s="68" t="str">
        <f t="shared" si="4"/>
        <v/>
      </c>
      <c r="X12" s="68" t="str">
        <f t="shared" si="4"/>
        <v/>
      </c>
      <c r="Y12" s="68" t="str">
        <f t="shared" si="4"/>
        <v/>
      </c>
      <c r="Z12" s="68" t="str">
        <f t="shared" si="4"/>
        <v/>
      </c>
      <c r="AA12" s="68" t="str">
        <f t="shared" si="4"/>
        <v/>
      </c>
      <c r="AB12" s="68" t="str">
        <f t="shared" si="4"/>
        <v/>
      </c>
      <c r="AC12" s="68" t="str">
        <f t="shared" si="4"/>
        <v/>
      </c>
      <c r="AD12" s="68" t="str">
        <f t="shared" si="4"/>
        <v/>
      </c>
      <c r="AE12" s="68" t="str">
        <f t="shared" si="4"/>
        <v/>
      </c>
      <c r="AF12" s="68" t="str">
        <f t="shared" si="4"/>
        <v/>
      </c>
      <c r="AG12" s="68" t="str">
        <f t="shared" si="4"/>
        <v/>
      </c>
      <c r="AH12" s="68" t="str">
        <f t="shared" si="4"/>
        <v/>
      </c>
      <c r="AI12" s="68" t="str">
        <f t="shared" si="4"/>
        <v/>
      </c>
      <c r="AJ12" s="68" t="str">
        <f t="shared" si="4"/>
        <v/>
      </c>
      <c r="AK12" s="68" t="str">
        <f t="shared" si="4"/>
        <v/>
      </c>
      <c r="AL12" s="68" t="str">
        <f t="shared" si="4"/>
        <v/>
      </c>
      <c r="AM12" s="68" t="str">
        <f t="shared" si="4"/>
        <v/>
      </c>
      <c r="AN12" s="68" t="str">
        <f t="shared" si="4"/>
        <v/>
      </c>
      <c r="AO12" s="68" t="str">
        <f t="shared" si="4"/>
        <v/>
      </c>
      <c r="AP12" s="68" t="str">
        <f t="shared" si="4"/>
        <v/>
      </c>
      <c r="AQ12" s="68" t="str">
        <f t="shared" si="4"/>
        <v/>
      </c>
      <c r="AR12" s="68" t="str">
        <f t="shared" si="4"/>
        <v/>
      </c>
      <c r="AS12" s="68" t="str">
        <f t="shared" si="4"/>
        <v/>
      </c>
      <c r="AT12" s="68" t="str">
        <f t="shared" si="4"/>
        <v/>
      </c>
      <c r="AU12" s="68" t="str">
        <f t="shared" si="4"/>
        <v/>
      </c>
      <c r="AV12" s="68" t="str">
        <f t="shared" si="4"/>
        <v/>
      </c>
      <c r="AW12" s="68" t="str">
        <f t="shared" si="4"/>
        <v/>
      </c>
      <c r="AX12" s="68" t="str">
        <f t="shared" si="4"/>
        <v/>
      </c>
      <c r="AY12" s="68" t="str">
        <f t="shared" si="4"/>
        <v/>
      </c>
      <c r="AZ12" s="68" t="str">
        <f t="shared" si="4"/>
        <v/>
      </c>
      <c r="BA12" s="68" t="str">
        <f t="shared" si="4"/>
        <v/>
      </c>
      <c r="BB12" s="68" t="str">
        <f t="shared" si="4"/>
        <v/>
      </c>
      <c r="BC12" s="68" t="str">
        <f t="shared" si="4"/>
        <v/>
      </c>
      <c r="BD12" s="68" t="str">
        <f t="shared" si="4"/>
        <v/>
      </c>
      <c r="BE12" s="68" t="str">
        <f t="shared" si="4"/>
        <v/>
      </c>
      <c r="BF12" s="68" t="str">
        <f t="shared" si="4"/>
        <v/>
      </c>
      <c r="BG12" s="68" t="str">
        <f t="shared" si="4"/>
        <v/>
      </c>
      <c r="BH12" s="68" t="str">
        <f t="shared" si="4"/>
        <v/>
      </c>
      <c r="BI12" s="68" t="str">
        <f t="shared" si="4"/>
        <v/>
      </c>
      <c r="BJ12" s="68" t="str">
        <f t="shared" si="4"/>
        <v/>
      </c>
      <c r="BK12" s="68" t="str">
        <f t="shared" si="4"/>
        <v/>
      </c>
      <c r="BL12" s="68" t="str">
        <f t="shared" si="4"/>
        <v/>
      </c>
      <c r="BM12" s="27"/>
      <c r="BN12" s="27"/>
      <c r="BO12" s="27"/>
      <c r="BP12" s="27"/>
    </row>
    <row r="13" ht="39.75" customHeight="1">
      <c r="A13" s="17"/>
      <c r="B13" s="70" t="s">
        <v>25</v>
      </c>
      <c r="C13" s="64" t="s">
        <v>26</v>
      </c>
      <c r="D13" s="64"/>
      <c r="E13" s="65"/>
      <c r="F13" s="66">
        <f>TODAY()+5</f>
        <v>46106</v>
      </c>
      <c r="G13" s="67">
        <v>1.0</v>
      </c>
      <c r="H13" s="64"/>
      <c r="I13" s="68" t="str">
        <f t="shared" ref="I13:BL13" si="5">IF(AND($C13="Objetivo",I$7&gt;=$F13,I$7&lt;=$F13+$G13-1),2,IF(AND($C13="Marco",I$7&gt;=$F13,I$7&lt;=$F13+$G13-1),1,""))</f>
        <v/>
      </c>
      <c r="J13" s="68" t="str">
        <f t="shared" si="5"/>
        <v/>
      </c>
      <c r="K13" s="68" t="str">
        <f t="shared" si="5"/>
        <v/>
      </c>
      <c r="L13" s="68" t="str">
        <f t="shared" si="5"/>
        <v/>
      </c>
      <c r="M13" s="68">
        <f t="shared" si="5"/>
        <v>1</v>
      </c>
      <c r="N13" s="68" t="str">
        <f t="shared" si="5"/>
        <v/>
      </c>
      <c r="O13" s="68" t="str">
        <f t="shared" si="5"/>
        <v/>
      </c>
      <c r="P13" s="68" t="str">
        <f t="shared" si="5"/>
        <v/>
      </c>
      <c r="Q13" s="68" t="str">
        <f t="shared" si="5"/>
        <v/>
      </c>
      <c r="R13" s="68" t="str">
        <f t="shared" si="5"/>
        <v/>
      </c>
      <c r="S13" s="68" t="str">
        <f t="shared" si="5"/>
        <v/>
      </c>
      <c r="T13" s="68" t="str">
        <f t="shared" si="5"/>
        <v/>
      </c>
      <c r="U13" s="68" t="str">
        <f t="shared" si="5"/>
        <v/>
      </c>
      <c r="V13" s="68" t="str">
        <f t="shared" si="5"/>
        <v/>
      </c>
      <c r="W13" s="68" t="str">
        <f t="shared" si="5"/>
        <v/>
      </c>
      <c r="X13" s="68" t="str">
        <f t="shared" si="5"/>
        <v/>
      </c>
      <c r="Y13" s="68" t="str">
        <f t="shared" si="5"/>
        <v/>
      </c>
      <c r="Z13" s="68" t="str">
        <f t="shared" si="5"/>
        <v/>
      </c>
      <c r="AA13" s="68" t="str">
        <f t="shared" si="5"/>
        <v/>
      </c>
      <c r="AB13" s="68" t="str">
        <f t="shared" si="5"/>
        <v/>
      </c>
      <c r="AC13" s="68" t="str">
        <f t="shared" si="5"/>
        <v/>
      </c>
      <c r="AD13" s="68" t="str">
        <f t="shared" si="5"/>
        <v/>
      </c>
      <c r="AE13" s="68" t="str">
        <f t="shared" si="5"/>
        <v/>
      </c>
      <c r="AF13" s="68" t="str">
        <f t="shared" si="5"/>
        <v/>
      </c>
      <c r="AG13" s="68" t="str">
        <f t="shared" si="5"/>
        <v/>
      </c>
      <c r="AH13" s="68" t="str">
        <f t="shared" si="5"/>
        <v/>
      </c>
      <c r="AI13" s="68" t="str">
        <f t="shared" si="5"/>
        <v/>
      </c>
      <c r="AJ13" s="68" t="str">
        <f t="shared" si="5"/>
        <v/>
      </c>
      <c r="AK13" s="68" t="str">
        <f t="shared" si="5"/>
        <v/>
      </c>
      <c r="AL13" s="68" t="str">
        <f t="shared" si="5"/>
        <v/>
      </c>
      <c r="AM13" s="68" t="str">
        <f t="shared" si="5"/>
        <v/>
      </c>
      <c r="AN13" s="68" t="str">
        <f t="shared" si="5"/>
        <v/>
      </c>
      <c r="AO13" s="68" t="str">
        <f t="shared" si="5"/>
        <v/>
      </c>
      <c r="AP13" s="68" t="str">
        <f t="shared" si="5"/>
        <v/>
      </c>
      <c r="AQ13" s="68" t="str">
        <f t="shared" si="5"/>
        <v/>
      </c>
      <c r="AR13" s="68" t="str">
        <f t="shared" si="5"/>
        <v/>
      </c>
      <c r="AS13" s="68" t="str">
        <f t="shared" si="5"/>
        <v/>
      </c>
      <c r="AT13" s="68" t="str">
        <f t="shared" si="5"/>
        <v/>
      </c>
      <c r="AU13" s="68" t="str">
        <f t="shared" si="5"/>
        <v/>
      </c>
      <c r="AV13" s="68" t="str">
        <f t="shared" si="5"/>
        <v/>
      </c>
      <c r="AW13" s="68" t="str">
        <f t="shared" si="5"/>
        <v/>
      </c>
      <c r="AX13" s="68" t="str">
        <f t="shared" si="5"/>
        <v/>
      </c>
      <c r="AY13" s="68" t="str">
        <f t="shared" si="5"/>
        <v/>
      </c>
      <c r="AZ13" s="68" t="str">
        <f t="shared" si="5"/>
        <v/>
      </c>
      <c r="BA13" s="68" t="str">
        <f t="shared" si="5"/>
        <v/>
      </c>
      <c r="BB13" s="68" t="str">
        <f t="shared" si="5"/>
        <v/>
      </c>
      <c r="BC13" s="68" t="str">
        <f t="shared" si="5"/>
        <v/>
      </c>
      <c r="BD13" s="68" t="str">
        <f t="shared" si="5"/>
        <v/>
      </c>
      <c r="BE13" s="68" t="str">
        <f t="shared" si="5"/>
        <v/>
      </c>
      <c r="BF13" s="68" t="str">
        <f t="shared" si="5"/>
        <v/>
      </c>
      <c r="BG13" s="68" t="str">
        <f t="shared" si="5"/>
        <v/>
      </c>
      <c r="BH13" s="68" t="str">
        <f t="shared" si="5"/>
        <v/>
      </c>
      <c r="BI13" s="68" t="str">
        <f t="shared" si="5"/>
        <v/>
      </c>
      <c r="BJ13" s="68" t="str">
        <f t="shared" si="5"/>
        <v/>
      </c>
      <c r="BK13" s="68" t="str">
        <f t="shared" si="5"/>
        <v/>
      </c>
      <c r="BL13" s="68" t="str">
        <f t="shared" si="5"/>
        <v/>
      </c>
      <c r="BM13" s="27"/>
      <c r="BN13" s="27"/>
      <c r="BO13" s="27"/>
      <c r="BP13" s="27"/>
    </row>
    <row r="14" ht="39.75" customHeight="1">
      <c r="A14" s="15"/>
      <c r="B14" s="70" t="s">
        <v>27</v>
      </c>
      <c r="C14" s="64" t="s">
        <v>28</v>
      </c>
      <c r="D14" s="64"/>
      <c r="E14" s="65">
        <v>0.5</v>
      </c>
      <c r="F14" s="66">
        <f>F12-3</f>
        <v>46098</v>
      </c>
      <c r="G14" s="67">
        <v>10.0</v>
      </c>
      <c r="H14" s="64"/>
      <c r="I14" s="68" t="str">
        <f t="shared" ref="I14:BL14" si="6">IF(AND($C14="Objetivo",I$7&gt;=$F14,I$7&lt;=$F14+$G14-1),2,IF(AND($C14="Marco",I$7&gt;=$F14,I$7&lt;=$F14+$G14-1),1,""))</f>
        <v/>
      </c>
      <c r="J14" s="68" t="str">
        <f t="shared" si="6"/>
        <v/>
      </c>
      <c r="K14" s="68" t="str">
        <f t="shared" si="6"/>
        <v/>
      </c>
      <c r="L14" s="68" t="str">
        <f t="shared" si="6"/>
        <v/>
      </c>
      <c r="M14" s="68" t="str">
        <f t="shared" si="6"/>
        <v/>
      </c>
      <c r="N14" s="68" t="str">
        <f t="shared" si="6"/>
        <v/>
      </c>
      <c r="O14" s="68" t="str">
        <f t="shared" si="6"/>
        <v/>
      </c>
      <c r="P14" s="68" t="str">
        <f t="shared" si="6"/>
        <v/>
      </c>
      <c r="Q14" s="68" t="str">
        <f t="shared" si="6"/>
        <v/>
      </c>
      <c r="R14" s="68" t="str">
        <f t="shared" si="6"/>
        <v/>
      </c>
      <c r="S14" s="68" t="str">
        <f t="shared" si="6"/>
        <v/>
      </c>
      <c r="T14" s="68" t="str">
        <f t="shared" si="6"/>
        <v/>
      </c>
      <c r="U14" s="68" t="str">
        <f t="shared" si="6"/>
        <v/>
      </c>
      <c r="V14" s="68" t="str">
        <f t="shared" si="6"/>
        <v/>
      </c>
      <c r="W14" s="68" t="str">
        <f t="shared" si="6"/>
        <v/>
      </c>
      <c r="X14" s="68" t="str">
        <f t="shared" si="6"/>
        <v/>
      </c>
      <c r="Y14" s="68" t="str">
        <f t="shared" si="6"/>
        <v/>
      </c>
      <c r="Z14" s="68" t="str">
        <f t="shared" si="6"/>
        <v/>
      </c>
      <c r="AA14" s="68" t="str">
        <f t="shared" si="6"/>
        <v/>
      </c>
      <c r="AB14" s="68" t="str">
        <f t="shared" si="6"/>
        <v/>
      </c>
      <c r="AC14" s="68" t="str">
        <f t="shared" si="6"/>
        <v/>
      </c>
      <c r="AD14" s="68" t="str">
        <f t="shared" si="6"/>
        <v/>
      </c>
      <c r="AE14" s="68" t="str">
        <f t="shared" si="6"/>
        <v/>
      </c>
      <c r="AF14" s="68" t="str">
        <f t="shared" si="6"/>
        <v/>
      </c>
      <c r="AG14" s="68" t="str">
        <f t="shared" si="6"/>
        <v/>
      </c>
      <c r="AH14" s="68" t="str">
        <f t="shared" si="6"/>
        <v/>
      </c>
      <c r="AI14" s="68" t="str">
        <f t="shared" si="6"/>
        <v/>
      </c>
      <c r="AJ14" s="68" t="str">
        <f t="shared" si="6"/>
        <v/>
      </c>
      <c r="AK14" s="68" t="str">
        <f t="shared" si="6"/>
        <v/>
      </c>
      <c r="AL14" s="68" t="str">
        <f t="shared" si="6"/>
        <v/>
      </c>
      <c r="AM14" s="68" t="str">
        <f t="shared" si="6"/>
        <v/>
      </c>
      <c r="AN14" s="68" t="str">
        <f t="shared" si="6"/>
        <v/>
      </c>
      <c r="AO14" s="68" t="str">
        <f t="shared" si="6"/>
        <v/>
      </c>
      <c r="AP14" s="68" t="str">
        <f t="shared" si="6"/>
        <v/>
      </c>
      <c r="AQ14" s="68" t="str">
        <f t="shared" si="6"/>
        <v/>
      </c>
      <c r="AR14" s="68" t="str">
        <f t="shared" si="6"/>
        <v/>
      </c>
      <c r="AS14" s="68" t="str">
        <f t="shared" si="6"/>
        <v/>
      </c>
      <c r="AT14" s="68" t="str">
        <f t="shared" si="6"/>
        <v/>
      </c>
      <c r="AU14" s="68" t="str">
        <f t="shared" si="6"/>
        <v/>
      </c>
      <c r="AV14" s="68" t="str">
        <f t="shared" si="6"/>
        <v/>
      </c>
      <c r="AW14" s="68" t="str">
        <f t="shared" si="6"/>
        <v/>
      </c>
      <c r="AX14" s="68" t="str">
        <f t="shared" si="6"/>
        <v/>
      </c>
      <c r="AY14" s="68" t="str">
        <f t="shared" si="6"/>
        <v/>
      </c>
      <c r="AZ14" s="68" t="str">
        <f t="shared" si="6"/>
        <v/>
      </c>
      <c r="BA14" s="68" t="str">
        <f t="shared" si="6"/>
        <v/>
      </c>
      <c r="BB14" s="68" t="str">
        <f t="shared" si="6"/>
        <v/>
      </c>
      <c r="BC14" s="68" t="str">
        <f t="shared" si="6"/>
        <v/>
      </c>
      <c r="BD14" s="68" t="str">
        <f t="shared" si="6"/>
        <v/>
      </c>
      <c r="BE14" s="68" t="str">
        <f t="shared" si="6"/>
        <v/>
      </c>
      <c r="BF14" s="68" t="str">
        <f t="shared" si="6"/>
        <v/>
      </c>
      <c r="BG14" s="68" t="str">
        <f t="shared" si="6"/>
        <v/>
      </c>
      <c r="BH14" s="68" t="str">
        <f t="shared" si="6"/>
        <v/>
      </c>
      <c r="BI14" s="68" t="str">
        <f t="shared" si="6"/>
        <v/>
      </c>
      <c r="BJ14" s="68" t="str">
        <f t="shared" si="6"/>
        <v/>
      </c>
      <c r="BK14" s="68" t="str">
        <f t="shared" si="6"/>
        <v/>
      </c>
      <c r="BL14" s="68" t="str">
        <f t="shared" si="6"/>
        <v/>
      </c>
      <c r="BM14" s="27"/>
      <c r="BN14" s="27"/>
      <c r="BO14" s="27"/>
      <c r="BP14" s="27"/>
    </row>
    <row r="15" ht="39.75" customHeight="1">
      <c r="A15" s="15"/>
      <c r="B15" s="70" t="s">
        <v>29</v>
      </c>
      <c r="C15" s="64" t="s">
        <v>26</v>
      </c>
      <c r="D15" s="64"/>
      <c r="E15" s="65"/>
      <c r="F15" s="66">
        <f>F12+20</f>
        <v>46121</v>
      </c>
      <c r="G15" s="67">
        <v>1.0</v>
      </c>
      <c r="H15" s="64"/>
      <c r="I15" s="68" t="str">
        <f t="shared" ref="I15:BL15" si="7">IF(AND($C15="Objetivo",I$7&gt;=$F15,I$7&lt;=$F15+$G15-1),2,IF(AND($C15="Marco",I$7&gt;=$F15,I$7&lt;=$F15+$G15-1),1,""))</f>
        <v/>
      </c>
      <c r="J15" s="68" t="str">
        <f t="shared" si="7"/>
        <v/>
      </c>
      <c r="K15" s="68" t="str">
        <f t="shared" si="7"/>
        <v/>
      </c>
      <c r="L15" s="68" t="str">
        <f t="shared" si="7"/>
        <v/>
      </c>
      <c r="M15" s="68" t="str">
        <f t="shared" si="7"/>
        <v/>
      </c>
      <c r="N15" s="68" t="str">
        <f t="shared" si="7"/>
        <v/>
      </c>
      <c r="O15" s="68" t="str">
        <f t="shared" si="7"/>
        <v/>
      </c>
      <c r="P15" s="68" t="str">
        <f t="shared" si="7"/>
        <v/>
      </c>
      <c r="Q15" s="68" t="str">
        <f t="shared" si="7"/>
        <v/>
      </c>
      <c r="R15" s="68" t="str">
        <f t="shared" si="7"/>
        <v/>
      </c>
      <c r="S15" s="68" t="str">
        <f t="shared" si="7"/>
        <v/>
      </c>
      <c r="T15" s="68" t="str">
        <f t="shared" si="7"/>
        <v/>
      </c>
      <c r="U15" s="68" t="str">
        <f t="shared" si="7"/>
        <v/>
      </c>
      <c r="V15" s="68" t="str">
        <f t="shared" si="7"/>
        <v/>
      </c>
      <c r="W15" s="68" t="str">
        <f t="shared" si="7"/>
        <v/>
      </c>
      <c r="X15" s="68" t="str">
        <f t="shared" si="7"/>
        <v/>
      </c>
      <c r="Y15" s="68" t="str">
        <f t="shared" si="7"/>
        <v/>
      </c>
      <c r="Z15" s="68" t="str">
        <f t="shared" si="7"/>
        <v/>
      </c>
      <c r="AA15" s="68" t="str">
        <f t="shared" si="7"/>
        <v/>
      </c>
      <c r="AB15" s="68">
        <f t="shared" si="7"/>
        <v>1</v>
      </c>
      <c r="AC15" s="68" t="str">
        <f t="shared" si="7"/>
        <v/>
      </c>
      <c r="AD15" s="68" t="str">
        <f t="shared" si="7"/>
        <v/>
      </c>
      <c r="AE15" s="68" t="str">
        <f t="shared" si="7"/>
        <v/>
      </c>
      <c r="AF15" s="68" t="str">
        <f t="shared" si="7"/>
        <v/>
      </c>
      <c r="AG15" s="68" t="str">
        <f t="shared" si="7"/>
        <v/>
      </c>
      <c r="AH15" s="68" t="str">
        <f t="shared" si="7"/>
        <v/>
      </c>
      <c r="AI15" s="68" t="str">
        <f t="shared" si="7"/>
        <v/>
      </c>
      <c r="AJ15" s="68" t="str">
        <f t="shared" si="7"/>
        <v/>
      </c>
      <c r="AK15" s="68" t="str">
        <f t="shared" si="7"/>
        <v/>
      </c>
      <c r="AL15" s="68" t="str">
        <f t="shared" si="7"/>
        <v/>
      </c>
      <c r="AM15" s="68" t="str">
        <f t="shared" si="7"/>
        <v/>
      </c>
      <c r="AN15" s="68" t="str">
        <f t="shared" si="7"/>
        <v/>
      </c>
      <c r="AO15" s="68" t="str">
        <f t="shared" si="7"/>
        <v/>
      </c>
      <c r="AP15" s="68" t="str">
        <f t="shared" si="7"/>
        <v/>
      </c>
      <c r="AQ15" s="68" t="str">
        <f t="shared" si="7"/>
        <v/>
      </c>
      <c r="AR15" s="68" t="str">
        <f t="shared" si="7"/>
        <v/>
      </c>
      <c r="AS15" s="68" t="str">
        <f t="shared" si="7"/>
        <v/>
      </c>
      <c r="AT15" s="68" t="str">
        <f t="shared" si="7"/>
        <v/>
      </c>
      <c r="AU15" s="68" t="str">
        <f t="shared" si="7"/>
        <v/>
      </c>
      <c r="AV15" s="68" t="str">
        <f t="shared" si="7"/>
        <v/>
      </c>
      <c r="AW15" s="68" t="str">
        <f t="shared" si="7"/>
        <v/>
      </c>
      <c r="AX15" s="68" t="str">
        <f t="shared" si="7"/>
        <v/>
      </c>
      <c r="AY15" s="68" t="str">
        <f t="shared" si="7"/>
        <v/>
      </c>
      <c r="AZ15" s="68" t="str">
        <f t="shared" si="7"/>
        <v/>
      </c>
      <c r="BA15" s="68" t="str">
        <f t="shared" si="7"/>
        <v/>
      </c>
      <c r="BB15" s="68" t="str">
        <f t="shared" si="7"/>
        <v/>
      </c>
      <c r="BC15" s="68" t="str">
        <f t="shared" si="7"/>
        <v/>
      </c>
      <c r="BD15" s="68" t="str">
        <f t="shared" si="7"/>
        <v/>
      </c>
      <c r="BE15" s="68" t="str">
        <f t="shared" si="7"/>
        <v/>
      </c>
      <c r="BF15" s="68" t="str">
        <f t="shared" si="7"/>
        <v/>
      </c>
      <c r="BG15" s="68" t="str">
        <f t="shared" si="7"/>
        <v/>
      </c>
      <c r="BH15" s="68" t="str">
        <f t="shared" si="7"/>
        <v/>
      </c>
      <c r="BI15" s="68" t="str">
        <f t="shared" si="7"/>
        <v/>
      </c>
      <c r="BJ15" s="68" t="str">
        <f t="shared" si="7"/>
        <v/>
      </c>
      <c r="BK15" s="68" t="str">
        <f t="shared" si="7"/>
        <v/>
      </c>
      <c r="BL15" s="68" t="str">
        <f t="shared" si="7"/>
        <v/>
      </c>
      <c r="BM15" s="27"/>
      <c r="BN15" s="27"/>
      <c r="BO15" s="27"/>
      <c r="BP15" s="27"/>
    </row>
    <row r="16" ht="39.75" customHeight="1">
      <c r="A16" s="15"/>
      <c r="B16" s="70" t="s">
        <v>30</v>
      </c>
      <c r="C16" s="64" t="s">
        <v>31</v>
      </c>
      <c r="D16" s="64"/>
      <c r="E16" s="65">
        <v>0.1</v>
      </c>
      <c r="F16" s="66">
        <f>F12+6</f>
        <v>46107</v>
      </c>
      <c r="G16" s="67">
        <v>6.0</v>
      </c>
      <c r="H16" s="64"/>
      <c r="I16" s="68" t="str">
        <f t="shared" ref="I16:BL16" si="8">IF(AND($C16="Objetivo",I$7&gt;=$F16,I$7&lt;=$F16+$G16-1),2,IF(AND($C16="Marco",I$7&gt;=$F16,I$7&lt;=$F16+$G16-1),1,""))</f>
        <v/>
      </c>
      <c r="J16" s="68" t="str">
        <f t="shared" si="8"/>
        <v/>
      </c>
      <c r="K16" s="68" t="str">
        <f t="shared" si="8"/>
        <v/>
      </c>
      <c r="L16" s="68" t="str">
        <f t="shared" si="8"/>
        <v/>
      </c>
      <c r="M16" s="68" t="str">
        <f t="shared" si="8"/>
        <v/>
      </c>
      <c r="N16" s="68" t="str">
        <f t="shared" si="8"/>
        <v/>
      </c>
      <c r="O16" s="68" t="str">
        <f t="shared" si="8"/>
        <v/>
      </c>
      <c r="P16" s="68" t="str">
        <f t="shared" si="8"/>
        <v/>
      </c>
      <c r="Q16" s="68" t="str">
        <f t="shared" si="8"/>
        <v/>
      </c>
      <c r="R16" s="68" t="str">
        <f t="shared" si="8"/>
        <v/>
      </c>
      <c r="S16" s="68" t="str">
        <f t="shared" si="8"/>
        <v/>
      </c>
      <c r="T16" s="68" t="str">
        <f t="shared" si="8"/>
        <v/>
      </c>
      <c r="U16" s="68" t="str">
        <f t="shared" si="8"/>
        <v/>
      </c>
      <c r="V16" s="68" t="str">
        <f t="shared" si="8"/>
        <v/>
      </c>
      <c r="W16" s="68" t="str">
        <f t="shared" si="8"/>
        <v/>
      </c>
      <c r="X16" s="68" t="str">
        <f t="shared" si="8"/>
        <v/>
      </c>
      <c r="Y16" s="68" t="str">
        <f t="shared" si="8"/>
        <v/>
      </c>
      <c r="Z16" s="68" t="str">
        <f t="shared" si="8"/>
        <v/>
      </c>
      <c r="AA16" s="68" t="str">
        <f t="shared" si="8"/>
        <v/>
      </c>
      <c r="AB16" s="68" t="str">
        <f t="shared" si="8"/>
        <v/>
      </c>
      <c r="AC16" s="68" t="str">
        <f t="shared" si="8"/>
        <v/>
      </c>
      <c r="AD16" s="68" t="str">
        <f t="shared" si="8"/>
        <v/>
      </c>
      <c r="AE16" s="68" t="str">
        <f t="shared" si="8"/>
        <v/>
      </c>
      <c r="AF16" s="68" t="str">
        <f t="shared" si="8"/>
        <v/>
      </c>
      <c r="AG16" s="68" t="str">
        <f t="shared" si="8"/>
        <v/>
      </c>
      <c r="AH16" s="68" t="str">
        <f t="shared" si="8"/>
        <v/>
      </c>
      <c r="AI16" s="68" t="str">
        <f t="shared" si="8"/>
        <v/>
      </c>
      <c r="AJ16" s="68" t="str">
        <f t="shared" si="8"/>
        <v/>
      </c>
      <c r="AK16" s="68" t="str">
        <f t="shared" si="8"/>
        <v/>
      </c>
      <c r="AL16" s="68" t="str">
        <f t="shared" si="8"/>
        <v/>
      </c>
      <c r="AM16" s="68" t="str">
        <f t="shared" si="8"/>
        <v/>
      </c>
      <c r="AN16" s="68" t="str">
        <f t="shared" si="8"/>
        <v/>
      </c>
      <c r="AO16" s="68" t="str">
        <f t="shared" si="8"/>
        <v/>
      </c>
      <c r="AP16" s="68" t="str">
        <f t="shared" si="8"/>
        <v/>
      </c>
      <c r="AQ16" s="68" t="str">
        <f t="shared" si="8"/>
        <v/>
      </c>
      <c r="AR16" s="68" t="str">
        <f t="shared" si="8"/>
        <v/>
      </c>
      <c r="AS16" s="68" t="str">
        <f t="shared" si="8"/>
        <v/>
      </c>
      <c r="AT16" s="68" t="str">
        <f t="shared" si="8"/>
        <v/>
      </c>
      <c r="AU16" s="68" t="str">
        <f t="shared" si="8"/>
        <v/>
      </c>
      <c r="AV16" s="68" t="str">
        <f t="shared" si="8"/>
        <v/>
      </c>
      <c r="AW16" s="68" t="str">
        <f t="shared" si="8"/>
        <v/>
      </c>
      <c r="AX16" s="68" t="str">
        <f t="shared" si="8"/>
        <v/>
      </c>
      <c r="AY16" s="68" t="str">
        <f t="shared" si="8"/>
        <v/>
      </c>
      <c r="AZ16" s="68" t="str">
        <f t="shared" si="8"/>
        <v/>
      </c>
      <c r="BA16" s="68" t="str">
        <f t="shared" si="8"/>
        <v/>
      </c>
      <c r="BB16" s="68" t="str">
        <f t="shared" si="8"/>
        <v/>
      </c>
      <c r="BC16" s="68" t="str">
        <f t="shared" si="8"/>
        <v/>
      </c>
      <c r="BD16" s="68" t="str">
        <f t="shared" si="8"/>
        <v/>
      </c>
      <c r="BE16" s="68" t="str">
        <f t="shared" si="8"/>
        <v/>
      </c>
      <c r="BF16" s="68" t="str">
        <f t="shared" si="8"/>
        <v/>
      </c>
      <c r="BG16" s="68" t="str">
        <f t="shared" si="8"/>
        <v/>
      </c>
      <c r="BH16" s="68" t="str">
        <f t="shared" si="8"/>
        <v/>
      </c>
      <c r="BI16" s="68" t="str">
        <f t="shared" si="8"/>
        <v/>
      </c>
      <c r="BJ16" s="68" t="str">
        <f t="shared" si="8"/>
        <v/>
      </c>
      <c r="BK16" s="68" t="str">
        <f t="shared" si="8"/>
        <v/>
      </c>
      <c r="BL16" s="68" t="str">
        <f t="shared" si="8"/>
        <v/>
      </c>
      <c r="BM16" s="27"/>
      <c r="BN16" s="27"/>
      <c r="BO16" s="27"/>
      <c r="BP16" s="27"/>
    </row>
    <row r="17" ht="39.75" customHeight="1">
      <c r="A17" s="17"/>
      <c r="B17" s="63" t="s">
        <v>32</v>
      </c>
      <c r="C17" s="64"/>
      <c r="D17" s="64"/>
      <c r="E17" s="65"/>
      <c r="F17" s="66"/>
      <c r="G17" s="67"/>
      <c r="H17" s="64"/>
      <c r="I17" s="68" t="str">
        <f t="shared" ref="I17:BL17" si="9">IF(AND($C17="Objetivo",I$7&gt;=$F17,I$7&lt;=$F17+$G17-1),2,IF(AND($C17="Marco",I$7&gt;=$F17,I$7&lt;=$F17+$G17-1),1,""))</f>
        <v/>
      </c>
      <c r="J17" s="68" t="str">
        <f t="shared" si="9"/>
        <v/>
      </c>
      <c r="K17" s="68" t="str">
        <f t="shared" si="9"/>
        <v/>
      </c>
      <c r="L17" s="68" t="str">
        <f t="shared" si="9"/>
        <v/>
      </c>
      <c r="M17" s="68" t="str">
        <f t="shared" si="9"/>
        <v/>
      </c>
      <c r="N17" s="68" t="str">
        <f t="shared" si="9"/>
        <v/>
      </c>
      <c r="O17" s="68" t="str">
        <f t="shared" si="9"/>
        <v/>
      </c>
      <c r="P17" s="68" t="str">
        <f t="shared" si="9"/>
        <v/>
      </c>
      <c r="Q17" s="68" t="str">
        <f t="shared" si="9"/>
        <v/>
      </c>
      <c r="R17" s="68" t="str">
        <f t="shared" si="9"/>
        <v/>
      </c>
      <c r="S17" s="68" t="str">
        <f t="shared" si="9"/>
        <v/>
      </c>
      <c r="T17" s="68" t="str">
        <f t="shared" si="9"/>
        <v/>
      </c>
      <c r="U17" s="68" t="str">
        <f t="shared" si="9"/>
        <v/>
      </c>
      <c r="V17" s="68" t="str">
        <f t="shared" si="9"/>
        <v/>
      </c>
      <c r="W17" s="68" t="str">
        <f t="shared" si="9"/>
        <v/>
      </c>
      <c r="X17" s="68" t="str">
        <f t="shared" si="9"/>
        <v/>
      </c>
      <c r="Y17" s="68" t="str">
        <f t="shared" si="9"/>
        <v/>
      </c>
      <c r="Z17" s="68" t="str">
        <f t="shared" si="9"/>
        <v/>
      </c>
      <c r="AA17" s="68" t="str">
        <f t="shared" si="9"/>
        <v/>
      </c>
      <c r="AB17" s="68" t="str">
        <f t="shared" si="9"/>
        <v/>
      </c>
      <c r="AC17" s="68" t="str">
        <f t="shared" si="9"/>
        <v/>
      </c>
      <c r="AD17" s="68" t="str">
        <f t="shared" si="9"/>
        <v/>
      </c>
      <c r="AE17" s="68" t="str">
        <f t="shared" si="9"/>
        <v/>
      </c>
      <c r="AF17" s="68" t="str">
        <f t="shared" si="9"/>
        <v/>
      </c>
      <c r="AG17" s="68" t="str">
        <f t="shared" si="9"/>
        <v/>
      </c>
      <c r="AH17" s="68" t="str">
        <f t="shared" si="9"/>
        <v/>
      </c>
      <c r="AI17" s="68" t="str">
        <f t="shared" si="9"/>
        <v/>
      </c>
      <c r="AJ17" s="68" t="str">
        <f t="shared" si="9"/>
        <v/>
      </c>
      <c r="AK17" s="68" t="str">
        <f t="shared" si="9"/>
        <v/>
      </c>
      <c r="AL17" s="68" t="str">
        <f t="shared" si="9"/>
        <v/>
      </c>
      <c r="AM17" s="68" t="str">
        <f t="shared" si="9"/>
        <v/>
      </c>
      <c r="AN17" s="68" t="str">
        <f t="shared" si="9"/>
        <v/>
      </c>
      <c r="AO17" s="68" t="str">
        <f t="shared" si="9"/>
        <v/>
      </c>
      <c r="AP17" s="68" t="str">
        <f t="shared" si="9"/>
        <v/>
      </c>
      <c r="AQ17" s="68" t="str">
        <f t="shared" si="9"/>
        <v/>
      </c>
      <c r="AR17" s="68" t="str">
        <f t="shared" si="9"/>
        <v/>
      </c>
      <c r="AS17" s="68" t="str">
        <f t="shared" si="9"/>
        <v/>
      </c>
      <c r="AT17" s="68" t="str">
        <f t="shared" si="9"/>
        <v/>
      </c>
      <c r="AU17" s="68" t="str">
        <f t="shared" si="9"/>
        <v/>
      </c>
      <c r="AV17" s="68" t="str">
        <f t="shared" si="9"/>
        <v/>
      </c>
      <c r="AW17" s="68" t="str">
        <f t="shared" si="9"/>
        <v/>
      </c>
      <c r="AX17" s="68" t="str">
        <f t="shared" si="9"/>
        <v/>
      </c>
      <c r="AY17" s="68" t="str">
        <f t="shared" si="9"/>
        <v/>
      </c>
      <c r="AZ17" s="68" t="str">
        <f t="shared" si="9"/>
        <v/>
      </c>
      <c r="BA17" s="68" t="str">
        <f t="shared" si="9"/>
        <v/>
      </c>
      <c r="BB17" s="68" t="str">
        <f t="shared" si="9"/>
        <v/>
      </c>
      <c r="BC17" s="68" t="str">
        <f t="shared" si="9"/>
        <v/>
      </c>
      <c r="BD17" s="68" t="str">
        <f t="shared" si="9"/>
        <v/>
      </c>
      <c r="BE17" s="68" t="str">
        <f t="shared" si="9"/>
        <v/>
      </c>
      <c r="BF17" s="68" t="str">
        <f t="shared" si="9"/>
        <v/>
      </c>
      <c r="BG17" s="68" t="str">
        <f t="shared" si="9"/>
        <v/>
      </c>
      <c r="BH17" s="68" t="str">
        <f t="shared" si="9"/>
        <v/>
      </c>
      <c r="BI17" s="68" t="str">
        <f t="shared" si="9"/>
        <v/>
      </c>
      <c r="BJ17" s="68" t="str">
        <f t="shared" si="9"/>
        <v/>
      </c>
      <c r="BK17" s="68" t="str">
        <f t="shared" si="9"/>
        <v/>
      </c>
      <c r="BL17" s="68" t="str">
        <f t="shared" si="9"/>
        <v/>
      </c>
      <c r="BM17" s="27"/>
      <c r="BN17" s="27"/>
      <c r="BO17" s="27"/>
      <c r="BP17" s="27"/>
    </row>
    <row r="18" ht="39.75" customHeight="1">
      <c r="A18" s="17"/>
      <c r="B18" s="70" t="s">
        <v>22</v>
      </c>
      <c r="C18" s="64" t="s">
        <v>33</v>
      </c>
      <c r="D18" s="64"/>
      <c r="E18" s="65">
        <v>0.6</v>
      </c>
      <c r="F18" s="66">
        <f>F12+6</f>
        <v>46107</v>
      </c>
      <c r="G18" s="67">
        <v>13.0</v>
      </c>
      <c r="H18" s="64"/>
      <c r="I18" s="68" t="str">
        <f t="shared" ref="I18:BL18" si="10">IF(AND($C18="Objetivo",I$7&gt;=$F18,I$7&lt;=$F18+$G18-1),2,IF(AND($C18="Marco",I$7&gt;=$F18,I$7&lt;=$F18+$G18-1),1,""))</f>
        <v/>
      </c>
      <c r="J18" s="68" t="str">
        <f t="shared" si="10"/>
        <v/>
      </c>
      <c r="K18" s="68" t="str">
        <f t="shared" si="10"/>
        <v/>
      </c>
      <c r="L18" s="68" t="str">
        <f t="shared" si="10"/>
        <v/>
      </c>
      <c r="M18" s="68" t="str">
        <f t="shared" si="10"/>
        <v/>
      </c>
      <c r="N18" s="68" t="str">
        <f t="shared" si="10"/>
        <v/>
      </c>
      <c r="O18" s="68" t="str">
        <f t="shared" si="10"/>
        <v/>
      </c>
      <c r="P18" s="68" t="str">
        <f t="shared" si="10"/>
        <v/>
      </c>
      <c r="Q18" s="68" t="str">
        <f t="shared" si="10"/>
        <v/>
      </c>
      <c r="R18" s="68" t="str">
        <f t="shared" si="10"/>
        <v/>
      </c>
      <c r="S18" s="68" t="str">
        <f t="shared" si="10"/>
        <v/>
      </c>
      <c r="T18" s="68" t="str">
        <f t="shared" si="10"/>
        <v/>
      </c>
      <c r="U18" s="68" t="str">
        <f t="shared" si="10"/>
        <v/>
      </c>
      <c r="V18" s="68" t="str">
        <f t="shared" si="10"/>
        <v/>
      </c>
      <c r="W18" s="68" t="str">
        <f t="shared" si="10"/>
        <v/>
      </c>
      <c r="X18" s="68" t="str">
        <f t="shared" si="10"/>
        <v/>
      </c>
      <c r="Y18" s="68" t="str">
        <f t="shared" si="10"/>
        <v/>
      </c>
      <c r="Z18" s="68" t="str">
        <f t="shared" si="10"/>
        <v/>
      </c>
      <c r="AA18" s="68" t="str">
        <f t="shared" si="10"/>
        <v/>
      </c>
      <c r="AB18" s="68" t="str">
        <f t="shared" si="10"/>
        <v/>
      </c>
      <c r="AC18" s="68" t="str">
        <f t="shared" si="10"/>
        <v/>
      </c>
      <c r="AD18" s="68" t="str">
        <f t="shared" si="10"/>
        <v/>
      </c>
      <c r="AE18" s="68" t="str">
        <f t="shared" si="10"/>
        <v/>
      </c>
      <c r="AF18" s="68" t="str">
        <f t="shared" si="10"/>
        <v/>
      </c>
      <c r="AG18" s="68" t="str">
        <f t="shared" si="10"/>
        <v/>
      </c>
      <c r="AH18" s="68" t="str">
        <f t="shared" si="10"/>
        <v/>
      </c>
      <c r="AI18" s="68" t="str">
        <f t="shared" si="10"/>
        <v/>
      </c>
      <c r="AJ18" s="68" t="str">
        <f t="shared" si="10"/>
        <v/>
      </c>
      <c r="AK18" s="68" t="str">
        <f t="shared" si="10"/>
        <v/>
      </c>
      <c r="AL18" s="68" t="str">
        <f t="shared" si="10"/>
        <v/>
      </c>
      <c r="AM18" s="68" t="str">
        <f t="shared" si="10"/>
        <v/>
      </c>
      <c r="AN18" s="68" t="str">
        <f t="shared" si="10"/>
        <v/>
      </c>
      <c r="AO18" s="68" t="str">
        <f t="shared" si="10"/>
        <v/>
      </c>
      <c r="AP18" s="68" t="str">
        <f t="shared" si="10"/>
        <v/>
      </c>
      <c r="AQ18" s="68" t="str">
        <f t="shared" si="10"/>
        <v/>
      </c>
      <c r="AR18" s="68" t="str">
        <f t="shared" si="10"/>
        <v/>
      </c>
      <c r="AS18" s="68" t="str">
        <f t="shared" si="10"/>
        <v/>
      </c>
      <c r="AT18" s="68" t="str">
        <f t="shared" si="10"/>
        <v/>
      </c>
      <c r="AU18" s="68" t="str">
        <f t="shared" si="10"/>
        <v/>
      </c>
      <c r="AV18" s="68" t="str">
        <f t="shared" si="10"/>
        <v/>
      </c>
      <c r="AW18" s="68" t="str">
        <f t="shared" si="10"/>
        <v/>
      </c>
      <c r="AX18" s="68" t="str">
        <f t="shared" si="10"/>
        <v/>
      </c>
      <c r="AY18" s="68" t="str">
        <f t="shared" si="10"/>
        <v/>
      </c>
      <c r="AZ18" s="68" t="str">
        <f t="shared" si="10"/>
        <v/>
      </c>
      <c r="BA18" s="68" t="str">
        <f t="shared" si="10"/>
        <v/>
      </c>
      <c r="BB18" s="68" t="str">
        <f t="shared" si="10"/>
        <v/>
      </c>
      <c r="BC18" s="68" t="str">
        <f t="shared" si="10"/>
        <v/>
      </c>
      <c r="BD18" s="68" t="str">
        <f t="shared" si="10"/>
        <v/>
      </c>
      <c r="BE18" s="68" t="str">
        <f t="shared" si="10"/>
        <v/>
      </c>
      <c r="BF18" s="68" t="str">
        <f t="shared" si="10"/>
        <v/>
      </c>
      <c r="BG18" s="68" t="str">
        <f t="shared" si="10"/>
        <v/>
      </c>
      <c r="BH18" s="68" t="str">
        <f t="shared" si="10"/>
        <v/>
      </c>
      <c r="BI18" s="68" t="str">
        <f t="shared" si="10"/>
        <v/>
      </c>
      <c r="BJ18" s="68" t="str">
        <f t="shared" si="10"/>
        <v/>
      </c>
      <c r="BK18" s="68" t="str">
        <f t="shared" si="10"/>
        <v/>
      </c>
      <c r="BL18" s="68" t="str">
        <f t="shared" si="10"/>
        <v/>
      </c>
      <c r="BM18" s="27"/>
      <c r="BN18" s="27"/>
      <c r="BO18" s="27"/>
      <c r="BP18" s="27"/>
    </row>
    <row r="19" ht="39.75" customHeight="1">
      <c r="A19" s="15"/>
      <c r="B19" s="70" t="s">
        <v>25</v>
      </c>
      <c r="C19" s="64" t="s">
        <v>34</v>
      </c>
      <c r="D19" s="64"/>
      <c r="E19" s="65">
        <v>0.5</v>
      </c>
      <c r="F19" s="66">
        <f>F18+2</f>
        <v>46109</v>
      </c>
      <c r="G19" s="67">
        <v>9.0</v>
      </c>
      <c r="H19" s="64"/>
      <c r="I19" s="68" t="str">
        <f t="shared" ref="I19:BL19" si="11">IF(AND($C19="Objetivo",I$7&gt;=$F19,I$7&lt;=$F19+$G19-1),2,IF(AND($C19="Marco",I$7&gt;=$F19,I$7&lt;=$F19+$G19-1),1,""))</f>
        <v/>
      </c>
      <c r="J19" s="68" t="str">
        <f t="shared" si="11"/>
        <v/>
      </c>
      <c r="K19" s="68" t="str">
        <f t="shared" si="11"/>
        <v/>
      </c>
      <c r="L19" s="68" t="str">
        <f t="shared" si="11"/>
        <v/>
      </c>
      <c r="M19" s="68" t="str">
        <f t="shared" si="11"/>
        <v/>
      </c>
      <c r="N19" s="68" t="str">
        <f t="shared" si="11"/>
        <v/>
      </c>
      <c r="O19" s="68" t="str">
        <f t="shared" si="11"/>
        <v/>
      </c>
      <c r="P19" s="68" t="str">
        <f t="shared" si="11"/>
        <v/>
      </c>
      <c r="Q19" s="68" t="str">
        <f t="shared" si="11"/>
        <v/>
      </c>
      <c r="R19" s="68" t="str">
        <f t="shared" si="11"/>
        <v/>
      </c>
      <c r="S19" s="68" t="str">
        <f t="shared" si="11"/>
        <v/>
      </c>
      <c r="T19" s="68" t="str">
        <f t="shared" si="11"/>
        <v/>
      </c>
      <c r="U19" s="68" t="str">
        <f t="shared" si="11"/>
        <v/>
      </c>
      <c r="V19" s="68" t="str">
        <f t="shared" si="11"/>
        <v/>
      </c>
      <c r="W19" s="68" t="str">
        <f t="shared" si="11"/>
        <v/>
      </c>
      <c r="X19" s="68" t="str">
        <f t="shared" si="11"/>
        <v/>
      </c>
      <c r="Y19" s="68" t="str">
        <f t="shared" si="11"/>
        <v/>
      </c>
      <c r="Z19" s="68" t="str">
        <f t="shared" si="11"/>
        <v/>
      </c>
      <c r="AA19" s="68" t="str">
        <f t="shared" si="11"/>
        <v/>
      </c>
      <c r="AB19" s="68" t="str">
        <f t="shared" si="11"/>
        <v/>
      </c>
      <c r="AC19" s="68" t="str">
        <f t="shared" si="11"/>
        <v/>
      </c>
      <c r="AD19" s="68" t="str">
        <f t="shared" si="11"/>
        <v/>
      </c>
      <c r="AE19" s="68" t="str">
        <f t="shared" si="11"/>
        <v/>
      </c>
      <c r="AF19" s="68" t="str">
        <f t="shared" si="11"/>
        <v/>
      </c>
      <c r="AG19" s="68" t="str">
        <f t="shared" si="11"/>
        <v/>
      </c>
      <c r="AH19" s="68" t="str">
        <f t="shared" si="11"/>
        <v/>
      </c>
      <c r="AI19" s="68" t="str">
        <f t="shared" si="11"/>
        <v/>
      </c>
      <c r="AJ19" s="68" t="str">
        <f t="shared" si="11"/>
        <v/>
      </c>
      <c r="AK19" s="68" t="str">
        <f t="shared" si="11"/>
        <v/>
      </c>
      <c r="AL19" s="68" t="str">
        <f t="shared" si="11"/>
        <v/>
      </c>
      <c r="AM19" s="68" t="str">
        <f t="shared" si="11"/>
        <v/>
      </c>
      <c r="AN19" s="68" t="str">
        <f t="shared" si="11"/>
        <v/>
      </c>
      <c r="AO19" s="68" t="str">
        <f t="shared" si="11"/>
        <v/>
      </c>
      <c r="AP19" s="68" t="str">
        <f t="shared" si="11"/>
        <v/>
      </c>
      <c r="AQ19" s="68" t="str">
        <f t="shared" si="11"/>
        <v/>
      </c>
      <c r="AR19" s="68" t="str">
        <f t="shared" si="11"/>
        <v/>
      </c>
      <c r="AS19" s="68" t="str">
        <f t="shared" si="11"/>
        <v/>
      </c>
      <c r="AT19" s="68" t="str">
        <f t="shared" si="11"/>
        <v/>
      </c>
      <c r="AU19" s="68" t="str">
        <f t="shared" si="11"/>
        <v/>
      </c>
      <c r="AV19" s="68" t="str">
        <f t="shared" si="11"/>
        <v/>
      </c>
      <c r="AW19" s="68" t="str">
        <f t="shared" si="11"/>
        <v/>
      </c>
      <c r="AX19" s="68" t="str">
        <f t="shared" si="11"/>
        <v/>
      </c>
      <c r="AY19" s="68" t="str">
        <f t="shared" si="11"/>
        <v/>
      </c>
      <c r="AZ19" s="68" t="str">
        <f t="shared" si="11"/>
        <v/>
      </c>
      <c r="BA19" s="68" t="str">
        <f t="shared" si="11"/>
        <v/>
      </c>
      <c r="BB19" s="68" t="str">
        <f t="shared" si="11"/>
        <v/>
      </c>
      <c r="BC19" s="68" t="str">
        <f t="shared" si="11"/>
        <v/>
      </c>
      <c r="BD19" s="68" t="str">
        <f t="shared" si="11"/>
        <v/>
      </c>
      <c r="BE19" s="68" t="str">
        <f t="shared" si="11"/>
        <v/>
      </c>
      <c r="BF19" s="68" t="str">
        <f t="shared" si="11"/>
        <v/>
      </c>
      <c r="BG19" s="68" t="str">
        <f t="shared" si="11"/>
        <v/>
      </c>
      <c r="BH19" s="68" t="str">
        <f t="shared" si="11"/>
        <v/>
      </c>
      <c r="BI19" s="68" t="str">
        <f t="shared" si="11"/>
        <v/>
      </c>
      <c r="BJ19" s="68" t="str">
        <f t="shared" si="11"/>
        <v/>
      </c>
      <c r="BK19" s="68" t="str">
        <f t="shared" si="11"/>
        <v/>
      </c>
      <c r="BL19" s="68" t="str">
        <f t="shared" si="11"/>
        <v/>
      </c>
      <c r="BM19" s="27"/>
      <c r="BN19" s="27"/>
      <c r="BO19" s="27"/>
      <c r="BP19" s="27"/>
    </row>
    <row r="20" ht="39.75" customHeight="1">
      <c r="A20" s="15"/>
      <c r="B20" s="70" t="s">
        <v>27</v>
      </c>
      <c r="C20" s="64" t="s">
        <v>28</v>
      </c>
      <c r="D20" s="64"/>
      <c r="E20" s="65">
        <v>0.33</v>
      </c>
      <c r="F20" s="66">
        <f>F19+5</f>
        <v>46114</v>
      </c>
      <c r="G20" s="67">
        <v>11.0</v>
      </c>
      <c r="H20" s="64"/>
      <c r="I20" s="68" t="str">
        <f t="shared" ref="I20:BL20" si="12">IF(AND($C20="Objetivo",I$7&gt;=$F20,I$7&lt;=$F20+$G20-1),2,IF(AND($C20="Marco",I$7&gt;=$F20,I$7&lt;=$F20+$G20-1),1,""))</f>
        <v/>
      </c>
      <c r="J20" s="68" t="str">
        <f t="shared" si="12"/>
        <v/>
      </c>
      <c r="K20" s="68" t="str">
        <f t="shared" si="12"/>
        <v/>
      </c>
      <c r="L20" s="68" t="str">
        <f t="shared" si="12"/>
        <v/>
      </c>
      <c r="M20" s="68" t="str">
        <f t="shared" si="12"/>
        <v/>
      </c>
      <c r="N20" s="68" t="str">
        <f t="shared" si="12"/>
        <v/>
      </c>
      <c r="O20" s="68" t="str">
        <f t="shared" si="12"/>
        <v/>
      </c>
      <c r="P20" s="68" t="str">
        <f t="shared" si="12"/>
        <v/>
      </c>
      <c r="Q20" s="68" t="str">
        <f t="shared" si="12"/>
        <v/>
      </c>
      <c r="R20" s="68" t="str">
        <f t="shared" si="12"/>
        <v/>
      </c>
      <c r="S20" s="68" t="str">
        <f t="shared" si="12"/>
        <v/>
      </c>
      <c r="T20" s="68" t="str">
        <f t="shared" si="12"/>
        <v/>
      </c>
      <c r="U20" s="68" t="str">
        <f t="shared" si="12"/>
        <v/>
      </c>
      <c r="V20" s="68" t="str">
        <f t="shared" si="12"/>
        <v/>
      </c>
      <c r="W20" s="68" t="str">
        <f t="shared" si="12"/>
        <v/>
      </c>
      <c r="X20" s="68" t="str">
        <f t="shared" si="12"/>
        <v/>
      </c>
      <c r="Y20" s="68" t="str">
        <f t="shared" si="12"/>
        <v/>
      </c>
      <c r="Z20" s="68" t="str">
        <f t="shared" si="12"/>
        <v/>
      </c>
      <c r="AA20" s="68" t="str">
        <f t="shared" si="12"/>
        <v/>
      </c>
      <c r="AB20" s="68" t="str">
        <f t="shared" si="12"/>
        <v/>
      </c>
      <c r="AC20" s="68" t="str">
        <f t="shared" si="12"/>
        <v/>
      </c>
      <c r="AD20" s="68" t="str">
        <f t="shared" si="12"/>
        <v/>
      </c>
      <c r="AE20" s="68" t="str">
        <f t="shared" si="12"/>
        <v/>
      </c>
      <c r="AF20" s="68" t="str">
        <f t="shared" si="12"/>
        <v/>
      </c>
      <c r="AG20" s="68" t="str">
        <f t="shared" si="12"/>
        <v/>
      </c>
      <c r="AH20" s="68" t="str">
        <f t="shared" si="12"/>
        <v/>
      </c>
      <c r="AI20" s="68" t="str">
        <f t="shared" si="12"/>
        <v/>
      </c>
      <c r="AJ20" s="68" t="str">
        <f t="shared" si="12"/>
        <v/>
      </c>
      <c r="AK20" s="68" t="str">
        <f t="shared" si="12"/>
        <v/>
      </c>
      <c r="AL20" s="68" t="str">
        <f t="shared" si="12"/>
        <v/>
      </c>
      <c r="AM20" s="68" t="str">
        <f t="shared" si="12"/>
        <v/>
      </c>
      <c r="AN20" s="68" t="str">
        <f t="shared" si="12"/>
        <v/>
      </c>
      <c r="AO20" s="68" t="str">
        <f t="shared" si="12"/>
        <v/>
      </c>
      <c r="AP20" s="68" t="str">
        <f t="shared" si="12"/>
        <v/>
      </c>
      <c r="AQ20" s="68" t="str">
        <f t="shared" si="12"/>
        <v/>
      </c>
      <c r="AR20" s="68" t="str">
        <f t="shared" si="12"/>
        <v/>
      </c>
      <c r="AS20" s="68" t="str">
        <f t="shared" si="12"/>
        <v/>
      </c>
      <c r="AT20" s="68" t="str">
        <f t="shared" si="12"/>
        <v/>
      </c>
      <c r="AU20" s="68" t="str">
        <f t="shared" si="12"/>
        <v/>
      </c>
      <c r="AV20" s="68" t="str">
        <f t="shared" si="12"/>
        <v/>
      </c>
      <c r="AW20" s="68" t="str">
        <f t="shared" si="12"/>
        <v/>
      </c>
      <c r="AX20" s="68" t="str">
        <f t="shared" si="12"/>
        <v/>
      </c>
      <c r="AY20" s="68" t="str">
        <f t="shared" si="12"/>
        <v/>
      </c>
      <c r="AZ20" s="68" t="str">
        <f t="shared" si="12"/>
        <v/>
      </c>
      <c r="BA20" s="68" t="str">
        <f t="shared" si="12"/>
        <v/>
      </c>
      <c r="BB20" s="68" t="str">
        <f t="shared" si="12"/>
        <v/>
      </c>
      <c r="BC20" s="68" t="str">
        <f t="shared" si="12"/>
        <v/>
      </c>
      <c r="BD20" s="68" t="str">
        <f t="shared" si="12"/>
        <v/>
      </c>
      <c r="BE20" s="68" t="str">
        <f t="shared" si="12"/>
        <v/>
      </c>
      <c r="BF20" s="68" t="str">
        <f t="shared" si="12"/>
        <v/>
      </c>
      <c r="BG20" s="68" t="str">
        <f t="shared" si="12"/>
        <v/>
      </c>
      <c r="BH20" s="68" t="str">
        <f t="shared" si="12"/>
        <v/>
      </c>
      <c r="BI20" s="68" t="str">
        <f t="shared" si="12"/>
        <v/>
      </c>
      <c r="BJ20" s="68" t="str">
        <f t="shared" si="12"/>
        <v/>
      </c>
      <c r="BK20" s="68" t="str">
        <f t="shared" si="12"/>
        <v/>
      </c>
      <c r="BL20" s="68" t="str">
        <f t="shared" si="12"/>
        <v/>
      </c>
      <c r="BM20" s="27"/>
      <c r="BN20" s="27"/>
      <c r="BO20" s="27"/>
      <c r="BP20" s="27"/>
    </row>
    <row r="21" ht="39.75" customHeight="1">
      <c r="A21" s="15"/>
      <c r="B21" s="70" t="s">
        <v>29</v>
      </c>
      <c r="C21" s="64" t="s">
        <v>26</v>
      </c>
      <c r="D21" s="64"/>
      <c r="E21" s="65"/>
      <c r="F21" s="66">
        <f>F20+2</f>
        <v>46116</v>
      </c>
      <c r="G21" s="67">
        <v>1.0</v>
      </c>
      <c r="H21" s="64"/>
      <c r="I21" s="68" t="str">
        <f t="shared" ref="I21:BL21" si="13">IF(AND($C21="Objetivo",I$7&gt;=$F21,I$7&lt;=$F21+$G21-1),2,IF(AND($C21="Marco",I$7&gt;=$F21,I$7&lt;=$F21+$G21-1),1,""))</f>
        <v/>
      </c>
      <c r="J21" s="68" t="str">
        <f t="shared" si="13"/>
        <v/>
      </c>
      <c r="K21" s="68" t="str">
        <f t="shared" si="13"/>
        <v/>
      </c>
      <c r="L21" s="68" t="str">
        <f t="shared" si="13"/>
        <v/>
      </c>
      <c r="M21" s="68" t="str">
        <f t="shared" si="13"/>
        <v/>
      </c>
      <c r="N21" s="68" t="str">
        <f t="shared" si="13"/>
        <v/>
      </c>
      <c r="O21" s="68" t="str">
        <f t="shared" si="13"/>
        <v/>
      </c>
      <c r="P21" s="68" t="str">
        <f t="shared" si="13"/>
        <v/>
      </c>
      <c r="Q21" s="68" t="str">
        <f t="shared" si="13"/>
        <v/>
      </c>
      <c r="R21" s="68" t="str">
        <f t="shared" si="13"/>
        <v/>
      </c>
      <c r="S21" s="68" t="str">
        <f t="shared" si="13"/>
        <v/>
      </c>
      <c r="T21" s="68" t="str">
        <f t="shared" si="13"/>
        <v/>
      </c>
      <c r="U21" s="68" t="str">
        <f t="shared" si="13"/>
        <v/>
      </c>
      <c r="V21" s="68" t="str">
        <f t="shared" si="13"/>
        <v/>
      </c>
      <c r="W21" s="68">
        <f t="shared" si="13"/>
        <v>1</v>
      </c>
      <c r="X21" s="68" t="str">
        <f t="shared" si="13"/>
        <v/>
      </c>
      <c r="Y21" s="68" t="str">
        <f t="shared" si="13"/>
        <v/>
      </c>
      <c r="Z21" s="68" t="str">
        <f t="shared" si="13"/>
        <v/>
      </c>
      <c r="AA21" s="68" t="str">
        <f t="shared" si="13"/>
        <v/>
      </c>
      <c r="AB21" s="68" t="str">
        <f t="shared" si="13"/>
        <v/>
      </c>
      <c r="AC21" s="68" t="str">
        <f t="shared" si="13"/>
        <v/>
      </c>
      <c r="AD21" s="68" t="str">
        <f t="shared" si="13"/>
        <v/>
      </c>
      <c r="AE21" s="68" t="str">
        <f t="shared" si="13"/>
        <v/>
      </c>
      <c r="AF21" s="68" t="str">
        <f t="shared" si="13"/>
        <v/>
      </c>
      <c r="AG21" s="68" t="str">
        <f t="shared" si="13"/>
        <v/>
      </c>
      <c r="AH21" s="68" t="str">
        <f t="shared" si="13"/>
        <v/>
      </c>
      <c r="AI21" s="68" t="str">
        <f t="shared" si="13"/>
        <v/>
      </c>
      <c r="AJ21" s="68" t="str">
        <f t="shared" si="13"/>
        <v/>
      </c>
      <c r="AK21" s="68" t="str">
        <f t="shared" si="13"/>
        <v/>
      </c>
      <c r="AL21" s="68" t="str">
        <f t="shared" si="13"/>
        <v/>
      </c>
      <c r="AM21" s="68" t="str">
        <f t="shared" si="13"/>
        <v/>
      </c>
      <c r="AN21" s="68" t="str">
        <f t="shared" si="13"/>
        <v/>
      </c>
      <c r="AO21" s="68" t="str">
        <f t="shared" si="13"/>
        <v/>
      </c>
      <c r="AP21" s="68" t="str">
        <f t="shared" si="13"/>
        <v/>
      </c>
      <c r="AQ21" s="68" t="str">
        <f t="shared" si="13"/>
        <v/>
      </c>
      <c r="AR21" s="68" t="str">
        <f t="shared" si="13"/>
        <v/>
      </c>
      <c r="AS21" s="68" t="str">
        <f t="shared" si="13"/>
        <v/>
      </c>
      <c r="AT21" s="68" t="str">
        <f t="shared" si="13"/>
        <v/>
      </c>
      <c r="AU21" s="68" t="str">
        <f t="shared" si="13"/>
        <v/>
      </c>
      <c r="AV21" s="68" t="str">
        <f t="shared" si="13"/>
        <v/>
      </c>
      <c r="AW21" s="68" t="str">
        <f t="shared" si="13"/>
        <v/>
      </c>
      <c r="AX21" s="68" t="str">
        <f t="shared" si="13"/>
        <v/>
      </c>
      <c r="AY21" s="68" t="str">
        <f t="shared" si="13"/>
        <v/>
      </c>
      <c r="AZ21" s="68" t="str">
        <f t="shared" si="13"/>
        <v/>
      </c>
      <c r="BA21" s="68" t="str">
        <f t="shared" si="13"/>
        <v/>
      </c>
      <c r="BB21" s="68" t="str">
        <f t="shared" si="13"/>
        <v/>
      </c>
      <c r="BC21" s="68" t="str">
        <f t="shared" si="13"/>
        <v/>
      </c>
      <c r="BD21" s="68" t="str">
        <f t="shared" si="13"/>
        <v/>
      </c>
      <c r="BE21" s="68" t="str">
        <f t="shared" si="13"/>
        <v/>
      </c>
      <c r="BF21" s="68" t="str">
        <f t="shared" si="13"/>
        <v/>
      </c>
      <c r="BG21" s="68" t="str">
        <f t="shared" si="13"/>
        <v/>
      </c>
      <c r="BH21" s="68" t="str">
        <f t="shared" si="13"/>
        <v/>
      </c>
      <c r="BI21" s="68" t="str">
        <f t="shared" si="13"/>
        <v/>
      </c>
      <c r="BJ21" s="68" t="str">
        <f t="shared" si="13"/>
        <v/>
      </c>
      <c r="BK21" s="68" t="str">
        <f t="shared" si="13"/>
        <v/>
      </c>
      <c r="BL21" s="68" t="str">
        <f t="shared" si="13"/>
        <v/>
      </c>
      <c r="BM21" s="27"/>
      <c r="BN21" s="27"/>
      <c r="BO21" s="27"/>
      <c r="BP21" s="27"/>
    </row>
    <row r="22" ht="39.75" customHeight="1">
      <c r="A22" s="15"/>
      <c r="B22" s="70" t="s">
        <v>30</v>
      </c>
      <c r="C22" s="64"/>
      <c r="D22" s="64"/>
      <c r="E22" s="65"/>
      <c r="F22" s="66">
        <f>F21+1</f>
        <v>46117</v>
      </c>
      <c r="G22" s="67">
        <v>24.0</v>
      </c>
      <c r="H22" s="64"/>
      <c r="I22" s="68" t="str">
        <f t="shared" ref="I22:BL22" si="14">IF(AND($C22="Objetivo",I$7&gt;=$F22,I$7&lt;=$F22+$G22-1),2,IF(AND($C22="Marco",I$7&gt;=$F22,I$7&lt;=$F22+$G22-1),1,""))</f>
        <v/>
      </c>
      <c r="J22" s="68" t="str">
        <f t="shared" si="14"/>
        <v/>
      </c>
      <c r="K22" s="68" t="str">
        <f t="shared" si="14"/>
        <v/>
      </c>
      <c r="L22" s="68" t="str">
        <f t="shared" si="14"/>
        <v/>
      </c>
      <c r="M22" s="68" t="str">
        <f t="shared" si="14"/>
        <v/>
      </c>
      <c r="N22" s="68" t="str">
        <f t="shared" si="14"/>
        <v/>
      </c>
      <c r="O22" s="68" t="str">
        <f t="shared" si="14"/>
        <v/>
      </c>
      <c r="P22" s="68" t="str">
        <f t="shared" si="14"/>
        <v/>
      </c>
      <c r="Q22" s="68" t="str">
        <f t="shared" si="14"/>
        <v/>
      </c>
      <c r="R22" s="68" t="str">
        <f t="shared" si="14"/>
        <v/>
      </c>
      <c r="S22" s="68" t="str">
        <f t="shared" si="14"/>
        <v/>
      </c>
      <c r="T22" s="68" t="str">
        <f t="shared" si="14"/>
        <v/>
      </c>
      <c r="U22" s="68" t="str">
        <f t="shared" si="14"/>
        <v/>
      </c>
      <c r="V22" s="68" t="str">
        <f t="shared" si="14"/>
        <v/>
      </c>
      <c r="W22" s="68" t="str">
        <f t="shared" si="14"/>
        <v/>
      </c>
      <c r="X22" s="68" t="str">
        <f t="shared" si="14"/>
        <v/>
      </c>
      <c r="Y22" s="68" t="str">
        <f t="shared" si="14"/>
        <v/>
      </c>
      <c r="Z22" s="68" t="str">
        <f t="shared" si="14"/>
        <v/>
      </c>
      <c r="AA22" s="68" t="str">
        <f t="shared" si="14"/>
        <v/>
      </c>
      <c r="AB22" s="68" t="str">
        <f t="shared" si="14"/>
        <v/>
      </c>
      <c r="AC22" s="68" t="str">
        <f t="shared" si="14"/>
        <v/>
      </c>
      <c r="AD22" s="68" t="str">
        <f t="shared" si="14"/>
        <v/>
      </c>
      <c r="AE22" s="68" t="str">
        <f t="shared" si="14"/>
        <v/>
      </c>
      <c r="AF22" s="68" t="str">
        <f t="shared" si="14"/>
        <v/>
      </c>
      <c r="AG22" s="68" t="str">
        <f t="shared" si="14"/>
        <v/>
      </c>
      <c r="AH22" s="68" t="str">
        <f t="shared" si="14"/>
        <v/>
      </c>
      <c r="AI22" s="68" t="str">
        <f t="shared" si="14"/>
        <v/>
      </c>
      <c r="AJ22" s="68" t="str">
        <f t="shared" si="14"/>
        <v/>
      </c>
      <c r="AK22" s="68" t="str">
        <f t="shared" si="14"/>
        <v/>
      </c>
      <c r="AL22" s="68" t="str">
        <f t="shared" si="14"/>
        <v/>
      </c>
      <c r="AM22" s="68" t="str">
        <f t="shared" si="14"/>
        <v/>
      </c>
      <c r="AN22" s="68" t="str">
        <f t="shared" si="14"/>
        <v/>
      </c>
      <c r="AO22" s="68" t="str">
        <f t="shared" si="14"/>
        <v/>
      </c>
      <c r="AP22" s="68" t="str">
        <f t="shared" si="14"/>
        <v/>
      </c>
      <c r="AQ22" s="68" t="str">
        <f t="shared" si="14"/>
        <v/>
      </c>
      <c r="AR22" s="68" t="str">
        <f t="shared" si="14"/>
        <v/>
      </c>
      <c r="AS22" s="68" t="str">
        <f t="shared" si="14"/>
        <v/>
      </c>
      <c r="AT22" s="68" t="str">
        <f t="shared" si="14"/>
        <v/>
      </c>
      <c r="AU22" s="68" t="str">
        <f t="shared" si="14"/>
        <v/>
      </c>
      <c r="AV22" s="68" t="str">
        <f t="shared" si="14"/>
        <v/>
      </c>
      <c r="AW22" s="68" t="str">
        <f t="shared" si="14"/>
        <v/>
      </c>
      <c r="AX22" s="68" t="str">
        <f t="shared" si="14"/>
        <v/>
      </c>
      <c r="AY22" s="68" t="str">
        <f t="shared" si="14"/>
        <v/>
      </c>
      <c r="AZ22" s="68" t="str">
        <f t="shared" si="14"/>
        <v/>
      </c>
      <c r="BA22" s="68" t="str">
        <f t="shared" si="14"/>
        <v/>
      </c>
      <c r="BB22" s="68" t="str">
        <f t="shared" si="14"/>
        <v/>
      </c>
      <c r="BC22" s="68" t="str">
        <f t="shared" si="14"/>
        <v/>
      </c>
      <c r="BD22" s="68" t="str">
        <f t="shared" si="14"/>
        <v/>
      </c>
      <c r="BE22" s="68" t="str">
        <f t="shared" si="14"/>
        <v/>
      </c>
      <c r="BF22" s="68" t="str">
        <f t="shared" si="14"/>
        <v/>
      </c>
      <c r="BG22" s="68" t="str">
        <f t="shared" si="14"/>
        <v/>
      </c>
      <c r="BH22" s="68" t="str">
        <f t="shared" si="14"/>
        <v/>
      </c>
      <c r="BI22" s="68" t="str">
        <f t="shared" si="14"/>
        <v/>
      </c>
      <c r="BJ22" s="68" t="str">
        <f t="shared" si="14"/>
        <v/>
      </c>
      <c r="BK22" s="68" t="str">
        <f t="shared" si="14"/>
        <v/>
      </c>
      <c r="BL22" s="68" t="str">
        <f t="shared" si="14"/>
        <v/>
      </c>
      <c r="BM22" s="27"/>
      <c r="BN22" s="27"/>
      <c r="BO22" s="27"/>
      <c r="BP22" s="27"/>
    </row>
    <row r="23" ht="39.75" customHeight="1">
      <c r="A23" s="15"/>
      <c r="B23" s="63" t="s">
        <v>35</v>
      </c>
      <c r="C23" s="64"/>
      <c r="D23" s="64"/>
      <c r="E23" s="65"/>
      <c r="F23" s="66"/>
      <c r="G23" s="67"/>
      <c r="H23" s="64"/>
      <c r="I23" s="68" t="str">
        <f t="shared" ref="I23:BL23" si="15">IF(AND($C23="Objetivo",I$7&gt;=$F23,I$7&lt;=$F23+$G23-1),2,IF(AND($C23="Marco",I$7&gt;=$F23,I$7&lt;=$F23+$G23-1),1,""))</f>
        <v/>
      </c>
      <c r="J23" s="68" t="str">
        <f t="shared" si="15"/>
        <v/>
      </c>
      <c r="K23" s="68" t="str">
        <f t="shared" si="15"/>
        <v/>
      </c>
      <c r="L23" s="68" t="str">
        <f t="shared" si="15"/>
        <v/>
      </c>
      <c r="M23" s="68" t="str">
        <f t="shared" si="15"/>
        <v/>
      </c>
      <c r="N23" s="68" t="str">
        <f t="shared" si="15"/>
        <v/>
      </c>
      <c r="O23" s="68" t="str">
        <f t="shared" si="15"/>
        <v/>
      </c>
      <c r="P23" s="68" t="str">
        <f t="shared" si="15"/>
        <v/>
      </c>
      <c r="Q23" s="68" t="str">
        <f t="shared" si="15"/>
        <v/>
      </c>
      <c r="R23" s="68" t="str">
        <f t="shared" si="15"/>
        <v/>
      </c>
      <c r="S23" s="68" t="str">
        <f t="shared" si="15"/>
        <v/>
      </c>
      <c r="T23" s="68" t="str">
        <f t="shared" si="15"/>
        <v/>
      </c>
      <c r="U23" s="68" t="str">
        <f t="shared" si="15"/>
        <v/>
      </c>
      <c r="V23" s="68" t="str">
        <f t="shared" si="15"/>
        <v/>
      </c>
      <c r="W23" s="68" t="str">
        <f t="shared" si="15"/>
        <v/>
      </c>
      <c r="X23" s="68" t="str">
        <f t="shared" si="15"/>
        <v/>
      </c>
      <c r="Y23" s="68" t="str">
        <f t="shared" si="15"/>
        <v/>
      </c>
      <c r="Z23" s="68" t="str">
        <f t="shared" si="15"/>
        <v/>
      </c>
      <c r="AA23" s="68" t="str">
        <f t="shared" si="15"/>
        <v/>
      </c>
      <c r="AB23" s="68" t="str">
        <f t="shared" si="15"/>
        <v/>
      </c>
      <c r="AC23" s="68" t="str">
        <f t="shared" si="15"/>
        <v/>
      </c>
      <c r="AD23" s="68" t="str">
        <f t="shared" si="15"/>
        <v/>
      </c>
      <c r="AE23" s="68" t="str">
        <f t="shared" si="15"/>
        <v/>
      </c>
      <c r="AF23" s="68" t="str">
        <f t="shared" si="15"/>
        <v/>
      </c>
      <c r="AG23" s="68" t="str">
        <f t="shared" si="15"/>
        <v/>
      </c>
      <c r="AH23" s="68" t="str">
        <f t="shared" si="15"/>
        <v/>
      </c>
      <c r="AI23" s="68" t="str">
        <f t="shared" si="15"/>
        <v/>
      </c>
      <c r="AJ23" s="68" t="str">
        <f t="shared" si="15"/>
        <v/>
      </c>
      <c r="AK23" s="68" t="str">
        <f t="shared" si="15"/>
        <v/>
      </c>
      <c r="AL23" s="68" t="str">
        <f t="shared" si="15"/>
        <v/>
      </c>
      <c r="AM23" s="68" t="str">
        <f t="shared" si="15"/>
        <v/>
      </c>
      <c r="AN23" s="68" t="str">
        <f t="shared" si="15"/>
        <v/>
      </c>
      <c r="AO23" s="68" t="str">
        <f t="shared" si="15"/>
        <v/>
      </c>
      <c r="AP23" s="68" t="str">
        <f t="shared" si="15"/>
        <v/>
      </c>
      <c r="AQ23" s="68" t="str">
        <f t="shared" si="15"/>
        <v/>
      </c>
      <c r="AR23" s="68" t="str">
        <f t="shared" si="15"/>
        <v/>
      </c>
      <c r="AS23" s="68" t="str">
        <f t="shared" si="15"/>
        <v/>
      </c>
      <c r="AT23" s="68" t="str">
        <f t="shared" si="15"/>
        <v/>
      </c>
      <c r="AU23" s="68" t="str">
        <f t="shared" si="15"/>
        <v/>
      </c>
      <c r="AV23" s="68" t="str">
        <f t="shared" si="15"/>
        <v/>
      </c>
      <c r="AW23" s="68" t="str">
        <f t="shared" si="15"/>
        <v/>
      </c>
      <c r="AX23" s="68" t="str">
        <f t="shared" si="15"/>
        <v/>
      </c>
      <c r="AY23" s="68" t="str">
        <f t="shared" si="15"/>
        <v/>
      </c>
      <c r="AZ23" s="68" t="str">
        <f t="shared" si="15"/>
        <v/>
      </c>
      <c r="BA23" s="68" t="str">
        <f t="shared" si="15"/>
        <v/>
      </c>
      <c r="BB23" s="68" t="str">
        <f t="shared" si="15"/>
        <v/>
      </c>
      <c r="BC23" s="68" t="str">
        <f t="shared" si="15"/>
        <v/>
      </c>
      <c r="BD23" s="68" t="str">
        <f t="shared" si="15"/>
        <v/>
      </c>
      <c r="BE23" s="68" t="str">
        <f t="shared" si="15"/>
        <v/>
      </c>
      <c r="BF23" s="68" t="str">
        <f t="shared" si="15"/>
        <v/>
      </c>
      <c r="BG23" s="68" t="str">
        <f t="shared" si="15"/>
        <v/>
      </c>
      <c r="BH23" s="68" t="str">
        <f t="shared" si="15"/>
        <v/>
      </c>
      <c r="BI23" s="68" t="str">
        <f t="shared" si="15"/>
        <v/>
      </c>
      <c r="BJ23" s="68" t="str">
        <f t="shared" si="15"/>
        <v/>
      </c>
      <c r="BK23" s="68" t="str">
        <f t="shared" si="15"/>
        <v/>
      </c>
      <c r="BL23" s="68" t="str">
        <f t="shared" si="15"/>
        <v/>
      </c>
      <c r="BM23" s="27"/>
      <c r="BN23" s="27"/>
      <c r="BO23" s="27"/>
      <c r="BP23" s="27"/>
    </row>
    <row r="24" ht="39.75" customHeight="1">
      <c r="A24" s="15"/>
      <c r="B24" s="70" t="s">
        <v>22</v>
      </c>
      <c r="C24" s="64" t="s">
        <v>34</v>
      </c>
      <c r="D24" s="64"/>
      <c r="E24" s="65"/>
      <c r="F24" s="66">
        <f>F12+15</f>
        <v>46116</v>
      </c>
      <c r="G24" s="67">
        <v>4.0</v>
      </c>
      <c r="H24" s="64"/>
      <c r="I24" s="68" t="str">
        <f t="shared" ref="I24:BL24" si="16">IF(AND($C24="Objetivo",I$7&gt;=$F24,I$7&lt;=$F24+$G24-1),2,IF(AND($C24="Marco",I$7&gt;=$F24,I$7&lt;=$F24+$G24-1),1,""))</f>
        <v/>
      </c>
      <c r="J24" s="68" t="str">
        <f t="shared" si="16"/>
        <v/>
      </c>
      <c r="K24" s="68" t="str">
        <f t="shared" si="16"/>
        <v/>
      </c>
      <c r="L24" s="68" t="str">
        <f t="shared" si="16"/>
        <v/>
      </c>
      <c r="M24" s="68" t="str">
        <f t="shared" si="16"/>
        <v/>
      </c>
      <c r="N24" s="68" t="str">
        <f t="shared" si="16"/>
        <v/>
      </c>
      <c r="O24" s="68" t="str">
        <f t="shared" si="16"/>
        <v/>
      </c>
      <c r="P24" s="68" t="str">
        <f t="shared" si="16"/>
        <v/>
      </c>
      <c r="Q24" s="68" t="str">
        <f t="shared" si="16"/>
        <v/>
      </c>
      <c r="R24" s="68" t="str">
        <f t="shared" si="16"/>
        <v/>
      </c>
      <c r="S24" s="68" t="str">
        <f t="shared" si="16"/>
        <v/>
      </c>
      <c r="T24" s="68" t="str">
        <f t="shared" si="16"/>
        <v/>
      </c>
      <c r="U24" s="68" t="str">
        <f t="shared" si="16"/>
        <v/>
      </c>
      <c r="V24" s="68" t="str">
        <f t="shared" si="16"/>
        <v/>
      </c>
      <c r="W24" s="68" t="str">
        <f t="shared" si="16"/>
        <v/>
      </c>
      <c r="X24" s="68" t="str">
        <f t="shared" si="16"/>
        <v/>
      </c>
      <c r="Y24" s="68" t="str">
        <f t="shared" si="16"/>
        <v/>
      </c>
      <c r="Z24" s="68" t="str">
        <f t="shared" si="16"/>
        <v/>
      </c>
      <c r="AA24" s="68" t="str">
        <f t="shared" si="16"/>
        <v/>
      </c>
      <c r="AB24" s="68" t="str">
        <f t="shared" si="16"/>
        <v/>
      </c>
      <c r="AC24" s="68" t="str">
        <f t="shared" si="16"/>
        <v/>
      </c>
      <c r="AD24" s="68" t="str">
        <f t="shared" si="16"/>
        <v/>
      </c>
      <c r="AE24" s="68" t="str">
        <f t="shared" si="16"/>
        <v/>
      </c>
      <c r="AF24" s="68" t="str">
        <f t="shared" si="16"/>
        <v/>
      </c>
      <c r="AG24" s="68" t="str">
        <f t="shared" si="16"/>
        <v/>
      </c>
      <c r="AH24" s="68" t="str">
        <f t="shared" si="16"/>
        <v/>
      </c>
      <c r="AI24" s="68" t="str">
        <f t="shared" si="16"/>
        <v/>
      </c>
      <c r="AJ24" s="68" t="str">
        <f t="shared" si="16"/>
        <v/>
      </c>
      <c r="AK24" s="68" t="str">
        <f t="shared" si="16"/>
        <v/>
      </c>
      <c r="AL24" s="68" t="str">
        <f t="shared" si="16"/>
        <v/>
      </c>
      <c r="AM24" s="68" t="str">
        <f t="shared" si="16"/>
        <v/>
      </c>
      <c r="AN24" s="68" t="str">
        <f t="shared" si="16"/>
        <v/>
      </c>
      <c r="AO24" s="68" t="str">
        <f t="shared" si="16"/>
        <v/>
      </c>
      <c r="AP24" s="68" t="str">
        <f t="shared" si="16"/>
        <v/>
      </c>
      <c r="AQ24" s="68" t="str">
        <f t="shared" si="16"/>
        <v/>
      </c>
      <c r="AR24" s="68" t="str">
        <f t="shared" si="16"/>
        <v/>
      </c>
      <c r="AS24" s="68" t="str">
        <f t="shared" si="16"/>
        <v/>
      </c>
      <c r="AT24" s="68" t="str">
        <f t="shared" si="16"/>
        <v/>
      </c>
      <c r="AU24" s="68" t="str">
        <f t="shared" si="16"/>
        <v/>
      </c>
      <c r="AV24" s="68" t="str">
        <f t="shared" si="16"/>
        <v/>
      </c>
      <c r="AW24" s="68" t="str">
        <f t="shared" si="16"/>
        <v/>
      </c>
      <c r="AX24" s="68" t="str">
        <f t="shared" si="16"/>
        <v/>
      </c>
      <c r="AY24" s="68" t="str">
        <f t="shared" si="16"/>
        <v/>
      </c>
      <c r="AZ24" s="68" t="str">
        <f t="shared" si="16"/>
        <v/>
      </c>
      <c r="BA24" s="68" t="str">
        <f t="shared" si="16"/>
        <v/>
      </c>
      <c r="BB24" s="68" t="str">
        <f t="shared" si="16"/>
        <v/>
      </c>
      <c r="BC24" s="68" t="str">
        <f t="shared" si="16"/>
        <v/>
      </c>
      <c r="BD24" s="68" t="str">
        <f t="shared" si="16"/>
        <v/>
      </c>
      <c r="BE24" s="68" t="str">
        <f t="shared" si="16"/>
        <v/>
      </c>
      <c r="BF24" s="68" t="str">
        <f t="shared" si="16"/>
        <v/>
      </c>
      <c r="BG24" s="68" t="str">
        <f t="shared" si="16"/>
        <v/>
      </c>
      <c r="BH24" s="68" t="str">
        <f t="shared" si="16"/>
        <v/>
      </c>
      <c r="BI24" s="68" t="str">
        <f t="shared" si="16"/>
        <v/>
      </c>
      <c r="BJ24" s="68" t="str">
        <f t="shared" si="16"/>
        <v/>
      </c>
      <c r="BK24" s="68" t="str">
        <f t="shared" si="16"/>
        <v/>
      </c>
      <c r="BL24" s="68" t="str">
        <f t="shared" si="16"/>
        <v/>
      </c>
      <c r="BM24" s="27"/>
      <c r="BN24" s="27"/>
      <c r="BO24" s="27"/>
      <c r="BP24" s="27"/>
    </row>
    <row r="25" ht="39.75" customHeight="1">
      <c r="A25" s="15"/>
      <c r="B25" s="70" t="s">
        <v>25</v>
      </c>
      <c r="C25" s="64" t="s">
        <v>31</v>
      </c>
      <c r="D25" s="64"/>
      <c r="E25" s="65"/>
      <c r="F25" s="66">
        <f>F24+3</f>
        <v>46119</v>
      </c>
      <c r="G25" s="67">
        <v>14.0</v>
      </c>
      <c r="H25" s="64"/>
      <c r="I25" s="68" t="str">
        <f t="shared" ref="I25:BL25" si="17">IF(AND($C25="Objetivo",I$7&gt;=$F25,I$7&lt;=$F25+$G25-1),2,IF(AND($C25="Marco",I$7&gt;=$F25,I$7&lt;=$F25+$G25-1),1,""))</f>
        <v/>
      </c>
      <c r="J25" s="68" t="str">
        <f t="shared" si="17"/>
        <v/>
      </c>
      <c r="K25" s="68" t="str">
        <f t="shared" si="17"/>
        <v/>
      </c>
      <c r="L25" s="68" t="str">
        <f t="shared" si="17"/>
        <v/>
      </c>
      <c r="M25" s="68" t="str">
        <f t="shared" si="17"/>
        <v/>
      </c>
      <c r="N25" s="68" t="str">
        <f t="shared" si="17"/>
        <v/>
      </c>
      <c r="O25" s="68" t="str">
        <f t="shared" si="17"/>
        <v/>
      </c>
      <c r="P25" s="68" t="str">
        <f t="shared" si="17"/>
        <v/>
      </c>
      <c r="Q25" s="68" t="str">
        <f t="shared" si="17"/>
        <v/>
      </c>
      <c r="R25" s="68" t="str">
        <f t="shared" si="17"/>
        <v/>
      </c>
      <c r="S25" s="68" t="str">
        <f t="shared" si="17"/>
        <v/>
      </c>
      <c r="T25" s="68" t="str">
        <f t="shared" si="17"/>
        <v/>
      </c>
      <c r="U25" s="68" t="str">
        <f t="shared" si="17"/>
        <v/>
      </c>
      <c r="V25" s="68" t="str">
        <f t="shared" si="17"/>
        <v/>
      </c>
      <c r="W25" s="68" t="str">
        <f t="shared" si="17"/>
        <v/>
      </c>
      <c r="X25" s="68" t="str">
        <f t="shared" si="17"/>
        <v/>
      </c>
      <c r="Y25" s="68" t="str">
        <f t="shared" si="17"/>
        <v/>
      </c>
      <c r="Z25" s="68" t="str">
        <f t="shared" si="17"/>
        <v/>
      </c>
      <c r="AA25" s="68" t="str">
        <f t="shared" si="17"/>
        <v/>
      </c>
      <c r="AB25" s="68" t="str">
        <f t="shared" si="17"/>
        <v/>
      </c>
      <c r="AC25" s="68" t="str">
        <f t="shared" si="17"/>
        <v/>
      </c>
      <c r="AD25" s="68" t="str">
        <f t="shared" si="17"/>
        <v/>
      </c>
      <c r="AE25" s="68" t="str">
        <f t="shared" si="17"/>
        <v/>
      </c>
      <c r="AF25" s="68" t="str">
        <f t="shared" si="17"/>
        <v/>
      </c>
      <c r="AG25" s="68" t="str">
        <f t="shared" si="17"/>
        <v/>
      </c>
      <c r="AH25" s="68" t="str">
        <f t="shared" si="17"/>
        <v/>
      </c>
      <c r="AI25" s="68" t="str">
        <f t="shared" si="17"/>
        <v/>
      </c>
      <c r="AJ25" s="68" t="str">
        <f t="shared" si="17"/>
        <v/>
      </c>
      <c r="AK25" s="68" t="str">
        <f t="shared" si="17"/>
        <v/>
      </c>
      <c r="AL25" s="68" t="str">
        <f t="shared" si="17"/>
        <v/>
      </c>
      <c r="AM25" s="68" t="str">
        <f t="shared" si="17"/>
        <v/>
      </c>
      <c r="AN25" s="68" t="str">
        <f t="shared" si="17"/>
        <v/>
      </c>
      <c r="AO25" s="68" t="str">
        <f t="shared" si="17"/>
        <v/>
      </c>
      <c r="AP25" s="68" t="str">
        <f t="shared" si="17"/>
        <v/>
      </c>
      <c r="AQ25" s="68" t="str">
        <f t="shared" si="17"/>
        <v/>
      </c>
      <c r="AR25" s="68" t="str">
        <f t="shared" si="17"/>
        <v/>
      </c>
      <c r="AS25" s="68" t="str">
        <f t="shared" si="17"/>
        <v/>
      </c>
      <c r="AT25" s="68" t="str">
        <f t="shared" si="17"/>
        <v/>
      </c>
      <c r="AU25" s="68" t="str">
        <f t="shared" si="17"/>
        <v/>
      </c>
      <c r="AV25" s="68" t="str">
        <f t="shared" si="17"/>
        <v/>
      </c>
      <c r="AW25" s="68" t="str">
        <f t="shared" si="17"/>
        <v/>
      </c>
      <c r="AX25" s="68" t="str">
        <f t="shared" si="17"/>
        <v/>
      </c>
      <c r="AY25" s="68" t="str">
        <f t="shared" si="17"/>
        <v/>
      </c>
      <c r="AZ25" s="68" t="str">
        <f t="shared" si="17"/>
        <v/>
      </c>
      <c r="BA25" s="68" t="str">
        <f t="shared" si="17"/>
        <v/>
      </c>
      <c r="BB25" s="68" t="str">
        <f t="shared" si="17"/>
        <v/>
      </c>
      <c r="BC25" s="68" t="str">
        <f t="shared" si="17"/>
        <v/>
      </c>
      <c r="BD25" s="68" t="str">
        <f t="shared" si="17"/>
        <v/>
      </c>
      <c r="BE25" s="68" t="str">
        <f t="shared" si="17"/>
        <v/>
      </c>
      <c r="BF25" s="68" t="str">
        <f t="shared" si="17"/>
        <v/>
      </c>
      <c r="BG25" s="68" t="str">
        <f t="shared" si="17"/>
        <v/>
      </c>
      <c r="BH25" s="68" t="str">
        <f t="shared" si="17"/>
        <v/>
      </c>
      <c r="BI25" s="68" t="str">
        <f t="shared" si="17"/>
        <v/>
      </c>
      <c r="BJ25" s="68" t="str">
        <f t="shared" si="17"/>
        <v/>
      </c>
      <c r="BK25" s="68" t="str">
        <f t="shared" si="17"/>
        <v/>
      </c>
      <c r="BL25" s="68" t="str">
        <f t="shared" si="17"/>
        <v/>
      </c>
      <c r="BM25" s="27"/>
      <c r="BN25" s="27"/>
      <c r="BO25" s="27"/>
      <c r="BP25" s="27"/>
    </row>
    <row r="26" ht="39.75" customHeight="1">
      <c r="A26" s="15"/>
      <c r="B26" s="70" t="s">
        <v>27</v>
      </c>
      <c r="C26" s="64" t="s">
        <v>34</v>
      </c>
      <c r="D26" s="64"/>
      <c r="E26" s="65"/>
      <c r="F26" s="66">
        <f>F25+15</f>
        <v>46134</v>
      </c>
      <c r="G26" s="67">
        <v>6.0</v>
      </c>
      <c r="H26" s="64"/>
      <c r="I26" s="68" t="str">
        <f t="shared" ref="I26:BL26" si="18">IF(AND($C26="Objetivo",I$7&gt;=$F26,I$7&lt;=$F26+$G26-1),2,IF(AND($C26="Marco",I$7&gt;=$F26,I$7&lt;=$F26+$G26-1),1,""))</f>
        <v/>
      </c>
      <c r="J26" s="68" t="str">
        <f t="shared" si="18"/>
        <v/>
      </c>
      <c r="K26" s="68" t="str">
        <f t="shared" si="18"/>
        <v/>
      </c>
      <c r="L26" s="68" t="str">
        <f t="shared" si="18"/>
        <v/>
      </c>
      <c r="M26" s="68" t="str">
        <f t="shared" si="18"/>
        <v/>
      </c>
      <c r="N26" s="68" t="str">
        <f t="shared" si="18"/>
        <v/>
      </c>
      <c r="O26" s="68" t="str">
        <f t="shared" si="18"/>
        <v/>
      </c>
      <c r="P26" s="68" t="str">
        <f t="shared" si="18"/>
        <v/>
      </c>
      <c r="Q26" s="68" t="str">
        <f t="shared" si="18"/>
        <v/>
      </c>
      <c r="R26" s="68" t="str">
        <f t="shared" si="18"/>
        <v/>
      </c>
      <c r="S26" s="68" t="str">
        <f t="shared" si="18"/>
        <v/>
      </c>
      <c r="T26" s="68" t="str">
        <f t="shared" si="18"/>
        <v/>
      </c>
      <c r="U26" s="68" t="str">
        <f t="shared" si="18"/>
        <v/>
      </c>
      <c r="V26" s="68" t="str">
        <f t="shared" si="18"/>
        <v/>
      </c>
      <c r="W26" s="68" t="str">
        <f t="shared" si="18"/>
        <v/>
      </c>
      <c r="X26" s="68" t="str">
        <f t="shared" si="18"/>
        <v/>
      </c>
      <c r="Y26" s="68" t="str">
        <f t="shared" si="18"/>
        <v/>
      </c>
      <c r="Z26" s="68" t="str">
        <f t="shared" si="18"/>
        <v/>
      </c>
      <c r="AA26" s="68" t="str">
        <f t="shared" si="18"/>
        <v/>
      </c>
      <c r="AB26" s="68" t="str">
        <f t="shared" si="18"/>
        <v/>
      </c>
      <c r="AC26" s="68" t="str">
        <f t="shared" si="18"/>
        <v/>
      </c>
      <c r="AD26" s="68" t="str">
        <f t="shared" si="18"/>
        <v/>
      </c>
      <c r="AE26" s="68" t="str">
        <f t="shared" si="18"/>
        <v/>
      </c>
      <c r="AF26" s="68" t="str">
        <f t="shared" si="18"/>
        <v/>
      </c>
      <c r="AG26" s="68" t="str">
        <f t="shared" si="18"/>
        <v/>
      </c>
      <c r="AH26" s="68" t="str">
        <f t="shared" si="18"/>
        <v/>
      </c>
      <c r="AI26" s="68" t="str">
        <f t="shared" si="18"/>
        <v/>
      </c>
      <c r="AJ26" s="68" t="str">
        <f t="shared" si="18"/>
        <v/>
      </c>
      <c r="AK26" s="68" t="str">
        <f t="shared" si="18"/>
        <v/>
      </c>
      <c r="AL26" s="68" t="str">
        <f t="shared" si="18"/>
        <v/>
      </c>
      <c r="AM26" s="68" t="str">
        <f t="shared" si="18"/>
        <v/>
      </c>
      <c r="AN26" s="68" t="str">
        <f t="shared" si="18"/>
        <v/>
      </c>
      <c r="AO26" s="68" t="str">
        <f t="shared" si="18"/>
        <v/>
      </c>
      <c r="AP26" s="68" t="str">
        <f t="shared" si="18"/>
        <v/>
      </c>
      <c r="AQ26" s="68" t="str">
        <f t="shared" si="18"/>
        <v/>
      </c>
      <c r="AR26" s="68" t="str">
        <f t="shared" si="18"/>
        <v/>
      </c>
      <c r="AS26" s="68" t="str">
        <f t="shared" si="18"/>
        <v/>
      </c>
      <c r="AT26" s="68" t="str">
        <f t="shared" si="18"/>
        <v/>
      </c>
      <c r="AU26" s="68" t="str">
        <f t="shared" si="18"/>
        <v/>
      </c>
      <c r="AV26" s="68" t="str">
        <f t="shared" si="18"/>
        <v/>
      </c>
      <c r="AW26" s="68" t="str">
        <f t="shared" si="18"/>
        <v/>
      </c>
      <c r="AX26" s="68" t="str">
        <f t="shared" si="18"/>
        <v/>
      </c>
      <c r="AY26" s="68" t="str">
        <f t="shared" si="18"/>
        <v/>
      </c>
      <c r="AZ26" s="68" t="str">
        <f t="shared" si="18"/>
        <v/>
      </c>
      <c r="BA26" s="68" t="str">
        <f t="shared" si="18"/>
        <v/>
      </c>
      <c r="BB26" s="68" t="str">
        <f t="shared" si="18"/>
        <v/>
      </c>
      <c r="BC26" s="68" t="str">
        <f t="shared" si="18"/>
        <v/>
      </c>
      <c r="BD26" s="68" t="str">
        <f t="shared" si="18"/>
        <v/>
      </c>
      <c r="BE26" s="68" t="str">
        <f t="shared" si="18"/>
        <v/>
      </c>
      <c r="BF26" s="68" t="str">
        <f t="shared" si="18"/>
        <v/>
      </c>
      <c r="BG26" s="68" t="str">
        <f t="shared" si="18"/>
        <v/>
      </c>
      <c r="BH26" s="68" t="str">
        <f t="shared" si="18"/>
        <v/>
      </c>
      <c r="BI26" s="68" t="str">
        <f t="shared" si="18"/>
        <v/>
      </c>
      <c r="BJ26" s="68" t="str">
        <f t="shared" si="18"/>
        <v/>
      </c>
      <c r="BK26" s="68" t="str">
        <f t="shared" si="18"/>
        <v/>
      </c>
      <c r="BL26" s="68" t="str">
        <f t="shared" si="18"/>
        <v/>
      </c>
      <c r="BM26" s="27"/>
      <c r="BN26" s="27"/>
      <c r="BO26" s="27"/>
      <c r="BP26" s="27"/>
    </row>
    <row r="27" ht="39.75" customHeight="1">
      <c r="A27" s="15"/>
      <c r="B27" s="70" t="s">
        <v>29</v>
      </c>
      <c r="C27" s="64" t="s">
        <v>23</v>
      </c>
      <c r="D27" s="64"/>
      <c r="E27" s="65"/>
      <c r="F27" s="66">
        <f>F21+22</f>
        <v>46138</v>
      </c>
      <c r="G27" s="67">
        <v>3.0</v>
      </c>
      <c r="H27" s="64"/>
      <c r="I27" s="68" t="str">
        <f t="shared" ref="I27:BL27" si="19">IF(AND($C27="Objetivo",I$7&gt;=$F27,I$7&lt;=$F27+$G27-1),2,IF(AND($C27="Marco",I$7&gt;=$F27,I$7&lt;=$F27+$G27-1),1,""))</f>
        <v/>
      </c>
      <c r="J27" s="68" t="str">
        <f t="shared" si="19"/>
        <v/>
      </c>
      <c r="K27" s="68" t="str">
        <f t="shared" si="19"/>
        <v/>
      </c>
      <c r="L27" s="68" t="str">
        <f t="shared" si="19"/>
        <v/>
      </c>
      <c r="M27" s="68" t="str">
        <f t="shared" si="19"/>
        <v/>
      </c>
      <c r="N27" s="68" t="str">
        <f t="shared" si="19"/>
        <v/>
      </c>
      <c r="O27" s="68" t="str">
        <f t="shared" si="19"/>
        <v/>
      </c>
      <c r="P27" s="68" t="str">
        <f t="shared" si="19"/>
        <v/>
      </c>
      <c r="Q27" s="68" t="str">
        <f t="shared" si="19"/>
        <v/>
      </c>
      <c r="R27" s="68" t="str">
        <f t="shared" si="19"/>
        <v/>
      </c>
      <c r="S27" s="68" t="str">
        <f t="shared" si="19"/>
        <v/>
      </c>
      <c r="T27" s="68" t="str">
        <f t="shared" si="19"/>
        <v/>
      </c>
      <c r="U27" s="68" t="str">
        <f t="shared" si="19"/>
        <v/>
      </c>
      <c r="V27" s="68" t="str">
        <f t="shared" si="19"/>
        <v/>
      </c>
      <c r="W27" s="68" t="str">
        <f t="shared" si="19"/>
        <v/>
      </c>
      <c r="X27" s="68" t="str">
        <f t="shared" si="19"/>
        <v/>
      </c>
      <c r="Y27" s="68" t="str">
        <f t="shared" si="19"/>
        <v/>
      </c>
      <c r="Z27" s="68" t="str">
        <f t="shared" si="19"/>
        <v/>
      </c>
      <c r="AA27" s="68" t="str">
        <f t="shared" si="19"/>
        <v/>
      </c>
      <c r="AB27" s="68" t="str">
        <f t="shared" si="19"/>
        <v/>
      </c>
      <c r="AC27" s="68" t="str">
        <f t="shared" si="19"/>
        <v/>
      </c>
      <c r="AD27" s="68" t="str">
        <f t="shared" si="19"/>
        <v/>
      </c>
      <c r="AE27" s="68" t="str">
        <f t="shared" si="19"/>
        <v/>
      </c>
      <c r="AF27" s="68" t="str">
        <f t="shared" si="19"/>
        <v/>
      </c>
      <c r="AG27" s="68" t="str">
        <f t="shared" si="19"/>
        <v/>
      </c>
      <c r="AH27" s="68" t="str">
        <f t="shared" si="19"/>
        <v/>
      </c>
      <c r="AI27" s="68" t="str">
        <f t="shared" si="19"/>
        <v/>
      </c>
      <c r="AJ27" s="68" t="str">
        <f t="shared" si="19"/>
        <v/>
      </c>
      <c r="AK27" s="68" t="str">
        <f t="shared" si="19"/>
        <v/>
      </c>
      <c r="AL27" s="68" t="str">
        <f t="shared" si="19"/>
        <v/>
      </c>
      <c r="AM27" s="68" t="str">
        <f t="shared" si="19"/>
        <v/>
      </c>
      <c r="AN27" s="68" t="str">
        <f t="shared" si="19"/>
        <v/>
      </c>
      <c r="AO27" s="68" t="str">
        <f t="shared" si="19"/>
        <v/>
      </c>
      <c r="AP27" s="68" t="str">
        <f t="shared" si="19"/>
        <v/>
      </c>
      <c r="AQ27" s="68" t="str">
        <f t="shared" si="19"/>
        <v/>
      </c>
      <c r="AR27" s="68" t="str">
        <f t="shared" si="19"/>
        <v/>
      </c>
      <c r="AS27" s="68">
        <f t="shared" si="19"/>
        <v>2</v>
      </c>
      <c r="AT27" s="68">
        <f t="shared" si="19"/>
        <v>2</v>
      </c>
      <c r="AU27" s="68">
        <f t="shared" si="19"/>
        <v>2</v>
      </c>
      <c r="AV27" s="68" t="str">
        <f t="shared" si="19"/>
        <v/>
      </c>
      <c r="AW27" s="68" t="str">
        <f t="shared" si="19"/>
        <v/>
      </c>
      <c r="AX27" s="68" t="str">
        <f t="shared" si="19"/>
        <v/>
      </c>
      <c r="AY27" s="68" t="str">
        <f t="shared" si="19"/>
        <v/>
      </c>
      <c r="AZ27" s="68" t="str">
        <f t="shared" si="19"/>
        <v/>
      </c>
      <c r="BA27" s="68" t="str">
        <f t="shared" si="19"/>
        <v/>
      </c>
      <c r="BB27" s="68" t="str">
        <f t="shared" si="19"/>
        <v/>
      </c>
      <c r="BC27" s="68" t="str">
        <f t="shared" si="19"/>
        <v/>
      </c>
      <c r="BD27" s="68" t="str">
        <f t="shared" si="19"/>
        <v/>
      </c>
      <c r="BE27" s="68" t="str">
        <f t="shared" si="19"/>
        <v/>
      </c>
      <c r="BF27" s="68" t="str">
        <f t="shared" si="19"/>
        <v/>
      </c>
      <c r="BG27" s="68" t="str">
        <f t="shared" si="19"/>
        <v/>
      </c>
      <c r="BH27" s="68" t="str">
        <f t="shared" si="19"/>
        <v/>
      </c>
      <c r="BI27" s="68" t="str">
        <f t="shared" si="19"/>
        <v/>
      </c>
      <c r="BJ27" s="68" t="str">
        <f t="shared" si="19"/>
        <v/>
      </c>
      <c r="BK27" s="68" t="str">
        <f t="shared" si="19"/>
        <v/>
      </c>
      <c r="BL27" s="68" t="str">
        <f t="shared" si="19"/>
        <v/>
      </c>
      <c r="BM27" s="27"/>
      <c r="BN27" s="27"/>
      <c r="BO27" s="27"/>
      <c r="BP27" s="27"/>
    </row>
    <row r="28" ht="39.75" customHeight="1">
      <c r="A28" s="15"/>
      <c r="B28" s="70" t="s">
        <v>30</v>
      </c>
      <c r="C28" s="64" t="s">
        <v>28</v>
      </c>
      <c r="D28" s="64"/>
      <c r="E28" s="65"/>
      <c r="F28" s="66">
        <f>F16</f>
        <v>46107</v>
      </c>
      <c r="G28" s="67">
        <v>19.0</v>
      </c>
      <c r="H28" s="64"/>
      <c r="I28" s="68" t="str">
        <f t="shared" ref="I28:BL28" si="20">IF(AND($C28="Objetivo",I$7&gt;=$F28,I$7&lt;=$F28+$G28-1),2,IF(AND($C28="Marco",I$7&gt;=$F28,I$7&lt;=$F28+$G28-1),1,""))</f>
        <v/>
      </c>
      <c r="J28" s="68" t="str">
        <f t="shared" si="20"/>
        <v/>
      </c>
      <c r="K28" s="68" t="str">
        <f t="shared" si="20"/>
        <v/>
      </c>
      <c r="L28" s="68" t="str">
        <f t="shared" si="20"/>
        <v/>
      </c>
      <c r="M28" s="68" t="str">
        <f t="shared" si="20"/>
        <v/>
      </c>
      <c r="N28" s="68" t="str">
        <f t="shared" si="20"/>
        <v/>
      </c>
      <c r="O28" s="68" t="str">
        <f t="shared" si="20"/>
        <v/>
      </c>
      <c r="P28" s="68" t="str">
        <f t="shared" si="20"/>
        <v/>
      </c>
      <c r="Q28" s="68" t="str">
        <f t="shared" si="20"/>
        <v/>
      </c>
      <c r="R28" s="68" t="str">
        <f t="shared" si="20"/>
        <v/>
      </c>
      <c r="S28" s="68" t="str">
        <f t="shared" si="20"/>
        <v/>
      </c>
      <c r="T28" s="68" t="str">
        <f t="shared" si="20"/>
        <v/>
      </c>
      <c r="U28" s="68" t="str">
        <f t="shared" si="20"/>
        <v/>
      </c>
      <c r="V28" s="68" t="str">
        <f t="shared" si="20"/>
        <v/>
      </c>
      <c r="W28" s="68" t="str">
        <f t="shared" si="20"/>
        <v/>
      </c>
      <c r="X28" s="68" t="str">
        <f t="shared" si="20"/>
        <v/>
      </c>
      <c r="Y28" s="68" t="str">
        <f t="shared" si="20"/>
        <v/>
      </c>
      <c r="Z28" s="68" t="str">
        <f t="shared" si="20"/>
        <v/>
      </c>
      <c r="AA28" s="68" t="str">
        <f t="shared" si="20"/>
        <v/>
      </c>
      <c r="AB28" s="68" t="str">
        <f t="shared" si="20"/>
        <v/>
      </c>
      <c r="AC28" s="68" t="str">
        <f t="shared" si="20"/>
        <v/>
      </c>
      <c r="AD28" s="68" t="str">
        <f t="shared" si="20"/>
        <v/>
      </c>
      <c r="AE28" s="68" t="str">
        <f t="shared" si="20"/>
        <v/>
      </c>
      <c r="AF28" s="68" t="str">
        <f t="shared" si="20"/>
        <v/>
      </c>
      <c r="AG28" s="68" t="str">
        <f t="shared" si="20"/>
        <v/>
      </c>
      <c r="AH28" s="68" t="str">
        <f t="shared" si="20"/>
        <v/>
      </c>
      <c r="AI28" s="68" t="str">
        <f t="shared" si="20"/>
        <v/>
      </c>
      <c r="AJ28" s="68" t="str">
        <f t="shared" si="20"/>
        <v/>
      </c>
      <c r="AK28" s="68" t="str">
        <f t="shared" si="20"/>
        <v/>
      </c>
      <c r="AL28" s="68" t="str">
        <f t="shared" si="20"/>
        <v/>
      </c>
      <c r="AM28" s="68" t="str">
        <f t="shared" si="20"/>
        <v/>
      </c>
      <c r="AN28" s="68" t="str">
        <f t="shared" si="20"/>
        <v/>
      </c>
      <c r="AO28" s="68" t="str">
        <f t="shared" si="20"/>
        <v/>
      </c>
      <c r="AP28" s="68" t="str">
        <f t="shared" si="20"/>
        <v/>
      </c>
      <c r="AQ28" s="68" t="str">
        <f t="shared" si="20"/>
        <v/>
      </c>
      <c r="AR28" s="68" t="str">
        <f t="shared" si="20"/>
        <v/>
      </c>
      <c r="AS28" s="68" t="str">
        <f t="shared" si="20"/>
        <v/>
      </c>
      <c r="AT28" s="68" t="str">
        <f t="shared" si="20"/>
        <v/>
      </c>
      <c r="AU28" s="68" t="str">
        <f t="shared" si="20"/>
        <v/>
      </c>
      <c r="AV28" s="68" t="str">
        <f t="shared" si="20"/>
        <v/>
      </c>
      <c r="AW28" s="68" t="str">
        <f t="shared" si="20"/>
        <v/>
      </c>
      <c r="AX28" s="68" t="str">
        <f t="shared" si="20"/>
        <v/>
      </c>
      <c r="AY28" s="68" t="str">
        <f t="shared" si="20"/>
        <v/>
      </c>
      <c r="AZ28" s="68" t="str">
        <f t="shared" si="20"/>
        <v/>
      </c>
      <c r="BA28" s="68" t="str">
        <f t="shared" si="20"/>
        <v/>
      </c>
      <c r="BB28" s="68" t="str">
        <f t="shared" si="20"/>
        <v/>
      </c>
      <c r="BC28" s="68" t="str">
        <f t="shared" si="20"/>
        <v/>
      </c>
      <c r="BD28" s="68" t="str">
        <f t="shared" si="20"/>
        <v/>
      </c>
      <c r="BE28" s="68" t="str">
        <f t="shared" si="20"/>
        <v/>
      </c>
      <c r="BF28" s="68" t="str">
        <f t="shared" si="20"/>
        <v/>
      </c>
      <c r="BG28" s="68" t="str">
        <f t="shared" si="20"/>
        <v/>
      </c>
      <c r="BH28" s="68" t="str">
        <f t="shared" si="20"/>
        <v/>
      </c>
      <c r="BI28" s="68" t="str">
        <f t="shared" si="20"/>
        <v/>
      </c>
      <c r="BJ28" s="68" t="str">
        <f t="shared" si="20"/>
        <v/>
      </c>
      <c r="BK28" s="68" t="str">
        <f t="shared" si="20"/>
        <v/>
      </c>
      <c r="BL28" s="68" t="str">
        <f t="shared" si="20"/>
        <v/>
      </c>
      <c r="BM28" s="27"/>
      <c r="BN28" s="27"/>
      <c r="BO28" s="27"/>
      <c r="BP28" s="27"/>
    </row>
    <row r="29" ht="39.75" customHeight="1">
      <c r="A29" s="15"/>
      <c r="B29" s="63" t="s">
        <v>36</v>
      </c>
      <c r="C29" s="64"/>
      <c r="D29" s="64"/>
      <c r="E29" s="65"/>
      <c r="F29" s="66"/>
      <c r="G29" s="67"/>
      <c r="H29" s="64"/>
      <c r="I29" s="68" t="str">
        <f t="shared" ref="I29:BL29" si="21">IF(AND($C29="Objetivo",I$7&gt;=$F29,I$7&lt;=$F29+$G29-1),2,IF(AND($C29="Marco",I$7&gt;=$F29,I$7&lt;=$F29+$G29-1),1,""))</f>
        <v/>
      </c>
      <c r="J29" s="68" t="str">
        <f t="shared" si="21"/>
        <v/>
      </c>
      <c r="K29" s="68" t="str">
        <f t="shared" si="21"/>
        <v/>
      </c>
      <c r="L29" s="68" t="str">
        <f t="shared" si="21"/>
        <v/>
      </c>
      <c r="M29" s="68" t="str">
        <f t="shared" si="21"/>
        <v/>
      </c>
      <c r="N29" s="68" t="str">
        <f t="shared" si="21"/>
        <v/>
      </c>
      <c r="O29" s="68" t="str">
        <f t="shared" si="21"/>
        <v/>
      </c>
      <c r="P29" s="68" t="str">
        <f t="shared" si="21"/>
        <v/>
      </c>
      <c r="Q29" s="68" t="str">
        <f t="shared" si="21"/>
        <v/>
      </c>
      <c r="R29" s="68" t="str">
        <f t="shared" si="21"/>
        <v/>
      </c>
      <c r="S29" s="68" t="str">
        <f t="shared" si="21"/>
        <v/>
      </c>
      <c r="T29" s="68" t="str">
        <f t="shared" si="21"/>
        <v/>
      </c>
      <c r="U29" s="68" t="str">
        <f t="shared" si="21"/>
        <v/>
      </c>
      <c r="V29" s="68" t="str">
        <f t="shared" si="21"/>
        <v/>
      </c>
      <c r="W29" s="68" t="str">
        <f t="shared" si="21"/>
        <v/>
      </c>
      <c r="X29" s="68" t="str">
        <f t="shared" si="21"/>
        <v/>
      </c>
      <c r="Y29" s="68" t="str">
        <f t="shared" si="21"/>
        <v/>
      </c>
      <c r="Z29" s="68" t="str">
        <f t="shared" si="21"/>
        <v/>
      </c>
      <c r="AA29" s="68" t="str">
        <f t="shared" si="21"/>
        <v/>
      </c>
      <c r="AB29" s="68" t="str">
        <f t="shared" si="21"/>
        <v/>
      </c>
      <c r="AC29" s="68" t="str">
        <f t="shared" si="21"/>
        <v/>
      </c>
      <c r="AD29" s="68" t="str">
        <f t="shared" si="21"/>
        <v/>
      </c>
      <c r="AE29" s="68" t="str">
        <f t="shared" si="21"/>
        <v/>
      </c>
      <c r="AF29" s="68" t="str">
        <f t="shared" si="21"/>
        <v/>
      </c>
      <c r="AG29" s="68" t="str">
        <f t="shared" si="21"/>
        <v/>
      </c>
      <c r="AH29" s="68" t="str">
        <f t="shared" si="21"/>
        <v/>
      </c>
      <c r="AI29" s="68" t="str">
        <f t="shared" si="21"/>
        <v/>
      </c>
      <c r="AJ29" s="68" t="str">
        <f t="shared" si="21"/>
        <v/>
      </c>
      <c r="AK29" s="68" t="str">
        <f t="shared" si="21"/>
        <v/>
      </c>
      <c r="AL29" s="68" t="str">
        <f t="shared" si="21"/>
        <v/>
      </c>
      <c r="AM29" s="68" t="str">
        <f t="shared" si="21"/>
        <v/>
      </c>
      <c r="AN29" s="68" t="str">
        <f t="shared" si="21"/>
        <v/>
      </c>
      <c r="AO29" s="68" t="str">
        <f t="shared" si="21"/>
        <v/>
      </c>
      <c r="AP29" s="68" t="str">
        <f t="shared" si="21"/>
        <v/>
      </c>
      <c r="AQ29" s="68" t="str">
        <f t="shared" si="21"/>
        <v/>
      </c>
      <c r="AR29" s="68" t="str">
        <f t="shared" si="21"/>
        <v/>
      </c>
      <c r="AS29" s="68" t="str">
        <f t="shared" si="21"/>
        <v/>
      </c>
      <c r="AT29" s="68" t="str">
        <f t="shared" si="21"/>
        <v/>
      </c>
      <c r="AU29" s="68" t="str">
        <f t="shared" si="21"/>
        <v/>
      </c>
      <c r="AV29" s="68" t="str">
        <f t="shared" si="21"/>
        <v/>
      </c>
      <c r="AW29" s="68" t="str">
        <f t="shared" si="21"/>
        <v/>
      </c>
      <c r="AX29" s="68" t="str">
        <f t="shared" si="21"/>
        <v/>
      </c>
      <c r="AY29" s="68" t="str">
        <f t="shared" si="21"/>
        <v/>
      </c>
      <c r="AZ29" s="68" t="str">
        <f t="shared" si="21"/>
        <v/>
      </c>
      <c r="BA29" s="68" t="str">
        <f t="shared" si="21"/>
        <v/>
      </c>
      <c r="BB29" s="68" t="str">
        <f t="shared" si="21"/>
        <v/>
      </c>
      <c r="BC29" s="68" t="str">
        <f t="shared" si="21"/>
        <v/>
      </c>
      <c r="BD29" s="68" t="str">
        <f t="shared" si="21"/>
        <v/>
      </c>
      <c r="BE29" s="68" t="str">
        <f t="shared" si="21"/>
        <v/>
      </c>
      <c r="BF29" s="68" t="str">
        <f t="shared" si="21"/>
        <v/>
      </c>
      <c r="BG29" s="68" t="str">
        <f t="shared" si="21"/>
        <v/>
      </c>
      <c r="BH29" s="68" t="str">
        <f t="shared" si="21"/>
        <v/>
      </c>
      <c r="BI29" s="68" t="str">
        <f t="shared" si="21"/>
        <v/>
      </c>
      <c r="BJ29" s="68" t="str">
        <f t="shared" si="21"/>
        <v/>
      </c>
      <c r="BK29" s="68" t="str">
        <f t="shared" si="21"/>
        <v/>
      </c>
      <c r="BL29" s="68" t="str">
        <f t="shared" si="21"/>
        <v/>
      </c>
      <c r="BM29" s="27"/>
      <c r="BN29" s="27"/>
      <c r="BO29" s="27"/>
      <c r="BP29" s="27"/>
    </row>
    <row r="30" ht="39.75" customHeight="1">
      <c r="A30" s="15"/>
      <c r="B30" s="70" t="s">
        <v>22</v>
      </c>
      <c r="C30" s="64"/>
      <c r="D30" s="64"/>
      <c r="E30" s="65"/>
      <c r="F30" s="66">
        <f>F27+3</f>
        <v>46141</v>
      </c>
      <c r="G30" s="67">
        <v>15.0</v>
      </c>
      <c r="H30" s="64"/>
      <c r="I30" s="68" t="str">
        <f t="shared" ref="I30:BL30" si="22">IF(AND($C30="Objetivo",I$7&gt;=$F30,I$7&lt;=$F30+$G30-1),2,IF(AND($C30="Marco",I$7&gt;=$F30,I$7&lt;=$F30+$G30-1),1,""))</f>
        <v/>
      </c>
      <c r="J30" s="68" t="str">
        <f t="shared" si="22"/>
        <v/>
      </c>
      <c r="K30" s="68" t="str">
        <f t="shared" si="22"/>
        <v/>
      </c>
      <c r="L30" s="68" t="str">
        <f t="shared" si="22"/>
        <v/>
      </c>
      <c r="M30" s="68" t="str">
        <f t="shared" si="22"/>
        <v/>
      </c>
      <c r="N30" s="68" t="str">
        <f t="shared" si="22"/>
        <v/>
      </c>
      <c r="O30" s="68" t="str">
        <f t="shared" si="22"/>
        <v/>
      </c>
      <c r="P30" s="68" t="str">
        <f t="shared" si="22"/>
        <v/>
      </c>
      <c r="Q30" s="68" t="str">
        <f t="shared" si="22"/>
        <v/>
      </c>
      <c r="R30" s="68" t="str">
        <f t="shared" si="22"/>
        <v/>
      </c>
      <c r="S30" s="68" t="str">
        <f t="shared" si="22"/>
        <v/>
      </c>
      <c r="T30" s="68" t="str">
        <f t="shared" si="22"/>
        <v/>
      </c>
      <c r="U30" s="68" t="str">
        <f t="shared" si="22"/>
        <v/>
      </c>
      <c r="V30" s="68" t="str">
        <f t="shared" si="22"/>
        <v/>
      </c>
      <c r="W30" s="68" t="str">
        <f t="shared" si="22"/>
        <v/>
      </c>
      <c r="X30" s="68" t="str">
        <f t="shared" si="22"/>
        <v/>
      </c>
      <c r="Y30" s="68" t="str">
        <f t="shared" si="22"/>
        <v/>
      </c>
      <c r="Z30" s="68" t="str">
        <f t="shared" si="22"/>
        <v/>
      </c>
      <c r="AA30" s="68" t="str">
        <f t="shared" si="22"/>
        <v/>
      </c>
      <c r="AB30" s="68" t="str">
        <f t="shared" si="22"/>
        <v/>
      </c>
      <c r="AC30" s="68" t="str">
        <f t="shared" si="22"/>
        <v/>
      </c>
      <c r="AD30" s="68" t="str">
        <f t="shared" si="22"/>
        <v/>
      </c>
      <c r="AE30" s="68" t="str">
        <f t="shared" si="22"/>
        <v/>
      </c>
      <c r="AF30" s="68" t="str">
        <f t="shared" si="22"/>
        <v/>
      </c>
      <c r="AG30" s="68" t="str">
        <f t="shared" si="22"/>
        <v/>
      </c>
      <c r="AH30" s="68" t="str">
        <f t="shared" si="22"/>
        <v/>
      </c>
      <c r="AI30" s="68" t="str">
        <f t="shared" si="22"/>
        <v/>
      </c>
      <c r="AJ30" s="68" t="str">
        <f t="shared" si="22"/>
        <v/>
      </c>
      <c r="AK30" s="68" t="str">
        <f t="shared" si="22"/>
        <v/>
      </c>
      <c r="AL30" s="68" t="str">
        <f t="shared" si="22"/>
        <v/>
      </c>
      <c r="AM30" s="68" t="str">
        <f t="shared" si="22"/>
        <v/>
      </c>
      <c r="AN30" s="68" t="str">
        <f t="shared" si="22"/>
        <v/>
      </c>
      <c r="AO30" s="68" t="str">
        <f t="shared" si="22"/>
        <v/>
      </c>
      <c r="AP30" s="68" t="str">
        <f t="shared" si="22"/>
        <v/>
      </c>
      <c r="AQ30" s="68" t="str">
        <f t="shared" si="22"/>
        <v/>
      </c>
      <c r="AR30" s="68" t="str">
        <f t="shared" si="22"/>
        <v/>
      </c>
      <c r="AS30" s="68" t="str">
        <f t="shared" si="22"/>
        <v/>
      </c>
      <c r="AT30" s="68" t="str">
        <f t="shared" si="22"/>
        <v/>
      </c>
      <c r="AU30" s="68" t="str">
        <f t="shared" si="22"/>
        <v/>
      </c>
      <c r="AV30" s="68" t="str">
        <f t="shared" si="22"/>
        <v/>
      </c>
      <c r="AW30" s="68" t="str">
        <f t="shared" si="22"/>
        <v/>
      </c>
      <c r="AX30" s="68" t="str">
        <f t="shared" si="22"/>
        <v/>
      </c>
      <c r="AY30" s="68" t="str">
        <f t="shared" si="22"/>
        <v/>
      </c>
      <c r="AZ30" s="68" t="str">
        <f t="shared" si="22"/>
        <v/>
      </c>
      <c r="BA30" s="68" t="str">
        <f t="shared" si="22"/>
        <v/>
      </c>
      <c r="BB30" s="68" t="str">
        <f t="shared" si="22"/>
        <v/>
      </c>
      <c r="BC30" s="68" t="str">
        <f t="shared" si="22"/>
        <v/>
      </c>
      <c r="BD30" s="68" t="str">
        <f t="shared" si="22"/>
        <v/>
      </c>
      <c r="BE30" s="68" t="str">
        <f t="shared" si="22"/>
        <v/>
      </c>
      <c r="BF30" s="68" t="str">
        <f t="shared" si="22"/>
        <v/>
      </c>
      <c r="BG30" s="68" t="str">
        <f t="shared" si="22"/>
        <v/>
      </c>
      <c r="BH30" s="68" t="str">
        <f t="shared" si="22"/>
        <v/>
      </c>
      <c r="BI30" s="68" t="str">
        <f t="shared" si="22"/>
        <v/>
      </c>
      <c r="BJ30" s="68" t="str">
        <f t="shared" si="22"/>
        <v/>
      </c>
      <c r="BK30" s="68" t="str">
        <f t="shared" si="22"/>
        <v/>
      </c>
      <c r="BL30" s="68" t="str">
        <f t="shared" si="22"/>
        <v/>
      </c>
      <c r="BM30" s="27"/>
      <c r="BN30" s="27"/>
      <c r="BO30" s="27"/>
      <c r="BP30" s="27"/>
    </row>
    <row r="31" ht="39.75" customHeight="1">
      <c r="A31" s="15"/>
      <c r="B31" s="70" t="s">
        <v>25</v>
      </c>
      <c r="C31" s="64"/>
      <c r="D31" s="64"/>
      <c r="E31" s="65"/>
      <c r="F31" s="66">
        <f>F30+14</f>
        <v>46155</v>
      </c>
      <c r="G31" s="67">
        <v>5.0</v>
      </c>
      <c r="H31" s="64"/>
      <c r="I31" s="68" t="str">
        <f t="shared" ref="I31:BL31" si="23">IF(AND($C31="Objetivo",I$7&gt;=$F31,I$7&lt;=$F31+$G31-1),2,IF(AND($C31="Marco",I$7&gt;=$F31,I$7&lt;=$F31+$G31-1),1,""))</f>
        <v/>
      </c>
      <c r="J31" s="68" t="str">
        <f t="shared" si="23"/>
        <v/>
      </c>
      <c r="K31" s="68" t="str">
        <f t="shared" si="23"/>
        <v/>
      </c>
      <c r="L31" s="68" t="str">
        <f t="shared" si="23"/>
        <v/>
      </c>
      <c r="M31" s="68" t="str">
        <f t="shared" si="23"/>
        <v/>
      </c>
      <c r="N31" s="68" t="str">
        <f t="shared" si="23"/>
        <v/>
      </c>
      <c r="O31" s="68" t="str">
        <f t="shared" si="23"/>
        <v/>
      </c>
      <c r="P31" s="68" t="str">
        <f t="shared" si="23"/>
        <v/>
      </c>
      <c r="Q31" s="68" t="str">
        <f t="shared" si="23"/>
        <v/>
      </c>
      <c r="R31" s="68" t="str">
        <f t="shared" si="23"/>
        <v/>
      </c>
      <c r="S31" s="68" t="str">
        <f t="shared" si="23"/>
        <v/>
      </c>
      <c r="T31" s="68" t="str">
        <f t="shared" si="23"/>
        <v/>
      </c>
      <c r="U31" s="68" t="str">
        <f t="shared" si="23"/>
        <v/>
      </c>
      <c r="V31" s="68" t="str">
        <f t="shared" si="23"/>
        <v/>
      </c>
      <c r="W31" s="68" t="str">
        <f t="shared" si="23"/>
        <v/>
      </c>
      <c r="X31" s="68" t="str">
        <f t="shared" si="23"/>
        <v/>
      </c>
      <c r="Y31" s="68" t="str">
        <f t="shared" si="23"/>
        <v/>
      </c>
      <c r="Z31" s="68" t="str">
        <f t="shared" si="23"/>
        <v/>
      </c>
      <c r="AA31" s="68" t="str">
        <f t="shared" si="23"/>
        <v/>
      </c>
      <c r="AB31" s="68" t="str">
        <f t="shared" si="23"/>
        <v/>
      </c>
      <c r="AC31" s="68" t="str">
        <f t="shared" si="23"/>
        <v/>
      </c>
      <c r="AD31" s="68" t="str">
        <f t="shared" si="23"/>
        <v/>
      </c>
      <c r="AE31" s="68" t="str">
        <f t="shared" si="23"/>
        <v/>
      </c>
      <c r="AF31" s="68" t="str">
        <f t="shared" si="23"/>
        <v/>
      </c>
      <c r="AG31" s="68" t="str">
        <f t="shared" si="23"/>
        <v/>
      </c>
      <c r="AH31" s="68" t="str">
        <f t="shared" si="23"/>
        <v/>
      </c>
      <c r="AI31" s="68" t="str">
        <f t="shared" si="23"/>
        <v/>
      </c>
      <c r="AJ31" s="68" t="str">
        <f t="shared" si="23"/>
        <v/>
      </c>
      <c r="AK31" s="68" t="str">
        <f t="shared" si="23"/>
        <v/>
      </c>
      <c r="AL31" s="68" t="str">
        <f t="shared" si="23"/>
        <v/>
      </c>
      <c r="AM31" s="68" t="str">
        <f t="shared" si="23"/>
        <v/>
      </c>
      <c r="AN31" s="68" t="str">
        <f t="shared" si="23"/>
        <v/>
      </c>
      <c r="AO31" s="68" t="str">
        <f t="shared" si="23"/>
        <v/>
      </c>
      <c r="AP31" s="68" t="str">
        <f t="shared" si="23"/>
        <v/>
      </c>
      <c r="AQ31" s="68" t="str">
        <f t="shared" si="23"/>
        <v/>
      </c>
      <c r="AR31" s="68" t="str">
        <f t="shared" si="23"/>
        <v/>
      </c>
      <c r="AS31" s="68" t="str">
        <f t="shared" si="23"/>
        <v/>
      </c>
      <c r="AT31" s="68" t="str">
        <f t="shared" si="23"/>
        <v/>
      </c>
      <c r="AU31" s="68" t="str">
        <f t="shared" si="23"/>
        <v/>
      </c>
      <c r="AV31" s="68" t="str">
        <f t="shared" si="23"/>
        <v/>
      </c>
      <c r="AW31" s="68" t="str">
        <f t="shared" si="23"/>
        <v/>
      </c>
      <c r="AX31" s="68" t="str">
        <f t="shared" si="23"/>
        <v/>
      </c>
      <c r="AY31" s="68" t="str">
        <f t="shared" si="23"/>
        <v/>
      </c>
      <c r="AZ31" s="68" t="str">
        <f t="shared" si="23"/>
        <v/>
      </c>
      <c r="BA31" s="68" t="str">
        <f t="shared" si="23"/>
        <v/>
      </c>
      <c r="BB31" s="68" t="str">
        <f t="shared" si="23"/>
        <v/>
      </c>
      <c r="BC31" s="68" t="str">
        <f t="shared" si="23"/>
        <v/>
      </c>
      <c r="BD31" s="68" t="str">
        <f t="shared" si="23"/>
        <v/>
      </c>
      <c r="BE31" s="68" t="str">
        <f t="shared" si="23"/>
        <v/>
      </c>
      <c r="BF31" s="68" t="str">
        <f t="shared" si="23"/>
        <v/>
      </c>
      <c r="BG31" s="68" t="str">
        <f t="shared" si="23"/>
        <v/>
      </c>
      <c r="BH31" s="68" t="str">
        <f t="shared" si="23"/>
        <v/>
      </c>
      <c r="BI31" s="68" t="str">
        <f t="shared" si="23"/>
        <v/>
      </c>
      <c r="BJ31" s="68" t="str">
        <f t="shared" si="23"/>
        <v/>
      </c>
      <c r="BK31" s="68" t="str">
        <f t="shared" si="23"/>
        <v/>
      </c>
      <c r="BL31" s="68" t="str">
        <f t="shared" si="23"/>
        <v/>
      </c>
      <c r="BM31" s="27"/>
      <c r="BN31" s="27"/>
      <c r="BO31" s="27"/>
      <c r="BP31" s="27"/>
    </row>
    <row r="32" ht="39.75" customHeight="1">
      <c r="A32" s="15"/>
      <c r="B32" s="70" t="s">
        <v>27</v>
      </c>
      <c r="C32" s="64" t="s">
        <v>26</v>
      </c>
      <c r="D32" s="64"/>
      <c r="E32" s="65"/>
      <c r="F32" s="66">
        <f>F31+42</f>
        <v>46197</v>
      </c>
      <c r="G32" s="67">
        <v>1.0</v>
      </c>
      <c r="H32" s="64"/>
      <c r="I32" s="68" t="str">
        <f t="shared" ref="I32:BL32" si="24">IF(AND($C32="Objetivo",I$7&gt;=$F32,I$7&lt;=$F32+$G32-1),2,IF(AND($C32="Marco",I$7&gt;=$F32,I$7&lt;=$F32+$G32-1),1,""))</f>
        <v/>
      </c>
      <c r="J32" s="68" t="str">
        <f t="shared" si="24"/>
        <v/>
      </c>
      <c r="K32" s="68" t="str">
        <f t="shared" si="24"/>
        <v/>
      </c>
      <c r="L32" s="68" t="str">
        <f t="shared" si="24"/>
        <v/>
      </c>
      <c r="M32" s="68" t="str">
        <f t="shared" si="24"/>
        <v/>
      </c>
      <c r="N32" s="68" t="str">
        <f t="shared" si="24"/>
        <v/>
      </c>
      <c r="O32" s="68" t="str">
        <f t="shared" si="24"/>
        <v/>
      </c>
      <c r="P32" s="68" t="str">
        <f t="shared" si="24"/>
        <v/>
      </c>
      <c r="Q32" s="68" t="str">
        <f t="shared" si="24"/>
        <v/>
      </c>
      <c r="R32" s="68" t="str">
        <f t="shared" si="24"/>
        <v/>
      </c>
      <c r="S32" s="68" t="str">
        <f t="shared" si="24"/>
        <v/>
      </c>
      <c r="T32" s="68" t="str">
        <f t="shared" si="24"/>
        <v/>
      </c>
      <c r="U32" s="68" t="str">
        <f t="shared" si="24"/>
        <v/>
      </c>
      <c r="V32" s="68" t="str">
        <f t="shared" si="24"/>
        <v/>
      </c>
      <c r="W32" s="68" t="str">
        <f t="shared" si="24"/>
        <v/>
      </c>
      <c r="X32" s="68" t="str">
        <f t="shared" si="24"/>
        <v/>
      </c>
      <c r="Y32" s="68" t="str">
        <f t="shared" si="24"/>
        <v/>
      </c>
      <c r="Z32" s="68" t="str">
        <f t="shared" si="24"/>
        <v/>
      </c>
      <c r="AA32" s="68" t="str">
        <f t="shared" si="24"/>
        <v/>
      </c>
      <c r="AB32" s="68" t="str">
        <f t="shared" si="24"/>
        <v/>
      </c>
      <c r="AC32" s="68" t="str">
        <f t="shared" si="24"/>
        <v/>
      </c>
      <c r="AD32" s="68" t="str">
        <f t="shared" si="24"/>
        <v/>
      </c>
      <c r="AE32" s="68" t="str">
        <f t="shared" si="24"/>
        <v/>
      </c>
      <c r="AF32" s="68" t="str">
        <f t="shared" si="24"/>
        <v/>
      </c>
      <c r="AG32" s="68" t="str">
        <f t="shared" si="24"/>
        <v/>
      </c>
      <c r="AH32" s="68" t="str">
        <f t="shared" si="24"/>
        <v/>
      </c>
      <c r="AI32" s="68" t="str">
        <f t="shared" si="24"/>
        <v/>
      </c>
      <c r="AJ32" s="68" t="str">
        <f t="shared" si="24"/>
        <v/>
      </c>
      <c r="AK32" s="68" t="str">
        <f t="shared" si="24"/>
        <v/>
      </c>
      <c r="AL32" s="68" t="str">
        <f t="shared" si="24"/>
        <v/>
      </c>
      <c r="AM32" s="68" t="str">
        <f t="shared" si="24"/>
        <v/>
      </c>
      <c r="AN32" s="68" t="str">
        <f t="shared" si="24"/>
        <v/>
      </c>
      <c r="AO32" s="68" t="str">
        <f t="shared" si="24"/>
        <v/>
      </c>
      <c r="AP32" s="68" t="str">
        <f t="shared" si="24"/>
        <v/>
      </c>
      <c r="AQ32" s="68" t="str">
        <f t="shared" si="24"/>
        <v/>
      </c>
      <c r="AR32" s="68" t="str">
        <f t="shared" si="24"/>
        <v/>
      </c>
      <c r="AS32" s="68" t="str">
        <f t="shared" si="24"/>
        <v/>
      </c>
      <c r="AT32" s="68" t="str">
        <f t="shared" si="24"/>
        <v/>
      </c>
      <c r="AU32" s="68" t="str">
        <f t="shared" si="24"/>
        <v/>
      </c>
      <c r="AV32" s="68" t="str">
        <f t="shared" si="24"/>
        <v/>
      </c>
      <c r="AW32" s="68" t="str">
        <f t="shared" si="24"/>
        <v/>
      </c>
      <c r="AX32" s="68" t="str">
        <f t="shared" si="24"/>
        <v/>
      </c>
      <c r="AY32" s="68" t="str">
        <f t="shared" si="24"/>
        <v/>
      </c>
      <c r="AZ32" s="68" t="str">
        <f t="shared" si="24"/>
        <v/>
      </c>
      <c r="BA32" s="68" t="str">
        <f t="shared" si="24"/>
        <v/>
      </c>
      <c r="BB32" s="68" t="str">
        <f t="shared" si="24"/>
        <v/>
      </c>
      <c r="BC32" s="68" t="str">
        <f t="shared" si="24"/>
        <v/>
      </c>
      <c r="BD32" s="68" t="str">
        <f t="shared" si="24"/>
        <v/>
      </c>
      <c r="BE32" s="68" t="str">
        <f t="shared" si="24"/>
        <v/>
      </c>
      <c r="BF32" s="68" t="str">
        <f t="shared" si="24"/>
        <v/>
      </c>
      <c r="BG32" s="68" t="str">
        <f t="shared" si="24"/>
        <v/>
      </c>
      <c r="BH32" s="68" t="str">
        <f t="shared" si="24"/>
        <v/>
      </c>
      <c r="BI32" s="68" t="str">
        <f t="shared" si="24"/>
        <v/>
      </c>
      <c r="BJ32" s="68" t="str">
        <f t="shared" si="24"/>
        <v/>
      </c>
      <c r="BK32" s="68" t="str">
        <f t="shared" si="24"/>
        <v/>
      </c>
      <c r="BL32" s="68" t="str">
        <f t="shared" si="24"/>
        <v/>
      </c>
      <c r="BM32" s="27"/>
      <c r="BN32" s="27"/>
      <c r="BO32" s="27"/>
      <c r="BP32" s="27"/>
    </row>
    <row r="33" ht="39.75" customHeight="1">
      <c r="A33" s="15"/>
      <c r="B33" s="70" t="s">
        <v>29</v>
      </c>
      <c r="C33" s="64"/>
      <c r="D33" s="64"/>
      <c r="E33" s="65"/>
      <c r="F33" s="66"/>
      <c r="G33" s="67"/>
      <c r="H33" s="64"/>
      <c r="I33" s="68" t="str">
        <f t="shared" ref="I33:BL33" si="25">IF(AND($C33="Objetivo",I$7&gt;=$F33,I$7&lt;=$F33+$G33-1),2,IF(AND($C33="Marco",I$7&gt;=$F33,I$7&lt;=$F33+$G33-1),1,""))</f>
        <v/>
      </c>
      <c r="J33" s="68" t="str">
        <f t="shared" si="25"/>
        <v/>
      </c>
      <c r="K33" s="68" t="str">
        <f t="shared" si="25"/>
        <v/>
      </c>
      <c r="L33" s="68" t="str">
        <f t="shared" si="25"/>
        <v/>
      </c>
      <c r="M33" s="68" t="str">
        <f t="shared" si="25"/>
        <v/>
      </c>
      <c r="N33" s="68" t="str">
        <f t="shared" si="25"/>
        <v/>
      </c>
      <c r="O33" s="68" t="str">
        <f t="shared" si="25"/>
        <v/>
      </c>
      <c r="P33" s="68" t="str">
        <f t="shared" si="25"/>
        <v/>
      </c>
      <c r="Q33" s="68" t="str">
        <f t="shared" si="25"/>
        <v/>
      </c>
      <c r="R33" s="68" t="str">
        <f t="shared" si="25"/>
        <v/>
      </c>
      <c r="S33" s="68" t="str">
        <f t="shared" si="25"/>
        <v/>
      </c>
      <c r="T33" s="68" t="str">
        <f t="shared" si="25"/>
        <v/>
      </c>
      <c r="U33" s="68" t="str">
        <f t="shared" si="25"/>
        <v/>
      </c>
      <c r="V33" s="68" t="str">
        <f t="shared" si="25"/>
        <v/>
      </c>
      <c r="W33" s="68" t="str">
        <f t="shared" si="25"/>
        <v/>
      </c>
      <c r="X33" s="68" t="str">
        <f t="shared" si="25"/>
        <v/>
      </c>
      <c r="Y33" s="68" t="str">
        <f t="shared" si="25"/>
        <v/>
      </c>
      <c r="Z33" s="68" t="str">
        <f t="shared" si="25"/>
        <v/>
      </c>
      <c r="AA33" s="68" t="str">
        <f t="shared" si="25"/>
        <v/>
      </c>
      <c r="AB33" s="68" t="str">
        <f t="shared" si="25"/>
        <v/>
      </c>
      <c r="AC33" s="68" t="str">
        <f t="shared" si="25"/>
        <v/>
      </c>
      <c r="AD33" s="68" t="str">
        <f t="shared" si="25"/>
        <v/>
      </c>
      <c r="AE33" s="68" t="str">
        <f t="shared" si="25"/>
        <v/>
      </c>
      <c r="AF33" s="68" t="str">
        <f t="shared" si="25"/>
        <v/>
      </c>
      <c r="AG33" s="68" t="str">
        <f t="shared" si="25"/>
        <v/>
      </c>
      <c r="AH33" s="68" t="str">
        <f t="shared" si="25"/>
        <v/>
      </c>
      <c r="AI33" s="68" t="str">
        <f t="shared" si="25"/>
        <v/>
      </c>
      <c r="AJ33" s="68" t="str">
        <f t="shared" si="25"/>
        <v/>
      </c>
      <c r="AK33" s="68" t="str">
        <f t="shared" si="25"/>
        <v/>
      </c>
      <c r="AL33" s="68" t="str">
        <f t="shared" si="25"/>
        <v/>
      </c>
      <c r="AM33" s="68" t="str">
        <f t="shared" si="25"/>
        <v/>
      </c>
      <c r="AN33" s="68" t="str">
        <f t="shared" si="25"/>
        <v/>
      </c>
      <c r="AO33" s="68" t="str">
        <f t="shared" si="25"/>
        <v/>
      </c>
      <c r="AP33" s="68" t="str">
        <f t="shared" si="25"/>
        <v/>
      </c>
      <c r="AQ33" s="68" t="str">
        <f t="shared" si="25"/>
        <v/>
      </c>
      <c r="AR33" s="68" t="str">
        <f t="shared" si="25"/>
        <v/>
      </c>
      <c r="AS33" s="68" t="str">
        <f t="shared" si="25"/>
        <v/>
      </c>
      <c r="AT33" s="68" t="str">
        <f t="shared" si="25"/>
        <v/>
      </c>
      <c r="AU33" s="68" t="str">
        <f t="shared" si="25"/>
        <v/>
      </c>
      <c r="AV33" s="68" t="str">
        <f t="shared" si="25"/>
        <v/>
      </c>
      <c r="AW33" s="68" t="str">
        <f t="shared" si="25"/>
        <v/>
      </c>
      <c r="AX33" s="68" t="str">
        <f t="shared" si="25"/>
        <v/>
      </c>
      <c r="AY33" s="68" t="str">
        <f t="shared" si="25"/>
        <v/>
      </c>
      <c r="AZ33" s="68" t="str">
        <f t="shared" si="25"/>
        <v/>
      </c>
      <c r="BA33" s="68" t="str">
        <f t="shared" si="25"/>
        <v/>
      </c>
      <c r="BB33" s="68" t="str">
        <f t="shared" si="25"/>
        <v/>
      </c>
      <c r="BC33" s="68" t="str">
        <f t="shared" si="25"/>
        <v/>
      </c>
      <c r="BD33" s="68" t="str">
        <f t="shared" si="25"/>
        <v/>
      </c>
      <c r="BE33" s="68" t="str">
        <f t="shared" si="25"/>
        <v/>
      </c>
      <c r="BF33" s="68" t="str">
        <f t="shared" si="25"/>
        <v/>
      </c>
      <c r="BG33" s="68" t="str">
        <f t="shared" si="25"/>
        <v/>
      </c>
      <c r="BH33" s="68" t="str">
        <f t="shared" si="25"/>
        <v/>
      </c>
      <c r="BI33" s="68" t="str">
        <f t="shared" si="25"/>
        <v/>
      </c>
      <c r="BJ33" s="68" t="str">
        <f t="shared" si="25"/>
        <v/>
      </c>
      <c r="BK33" s="68" t="str">
        <f t="shared" si="25"/>
        <v/>
      </c>
      <c r="BL33" s="68" t="str">
        <f t="shared" si="25"/>
        <v/>
      </c>
      <c r="BM33" s="27"/>
      <c r="BN33" s="27"/>
      <c r="BO33" s="27"/>
      <c r="BP33" s="27"/>
    </row>
    <row r="34" ht="39.75" customHeight="1">
      <c r="A34" s="15"/>
      <c r="B34" s="70" t="s">
        <v>30</v>
      </c>
      <c r="C34" s="64"/>
      <c r="D34" s="64"/>
      <c r="E34" s="65"/>
      <c r="F34" s="66"/>
      <c r="G34" s="67"/>
      <c r="H34" s="64"/>
      <c r="I34" s="68" t="str">
        <f t="shared" ref="I34:BL34" si="26">IF(AND($C34="Objetivo",I$7&gt;=$F34,I$7&lt;=$F34+$G34-1),2,IF(AND($C34="Marco",I$7&gt;=$F34,I$7&lt;=$F34+$G34-1),1,""))</f>
        <v/>
      </c>
      <c r="J34" s="68" t="str">
        <f t="shared" si="26"/>
        <v/>
      </c>
      <c r="K34" s="68" t="str">
        <f t="shared" si="26"/>
        <v/>
      </c>
      <c r="L34" s="68" t="str">
        <f t="shared" si="26"/>
        <v/>
      </c>
      <c r="M34" s="68" t="str">
        <f t="shared" si="26"/>
        <v/>
      </c>
      <c r="N34" s="68" t="str">
        <f t="shared" si="26"/>
        <v/>
      </c>
      <c r="O34" s="68" t="str">
        <f t="shared" si="26"/>
        <v/>
      </c>
      <c r="P34" s="68" t="str">
        <f t="shared" si="26"/>
        <v/>
      </c>
      <c r="Q34" s="68" t="str">
        <f t="shared" si="26"/>
        <v/>
      </c>
      <c r="R34" s="68" t="str">
        <f t="shared" si="26"/>
        <v/>
      </c>
      <c r="S34" s="68" t="str">
        <f t="shared" si="26"/>
        <v/>
      </c>
      <c r="T34" s="68" t="str">
        <f t="shared" si="26"/>
        <v/>
      </c>
      <c r="U34" s="68" t="str">
        <f t="shared" si="26"/>
        <v/>
      </c>
      <c r="V34" s="68" t="str">
        <f t="shared" si="26"/>
        <v/>
      </c>
      <c r="W34" s="68" t="str">
        <f t="shared" si="26"/>
        <v/>
      </c>
      <c r="X34" s="68" t="str">
        <f t="shared" si="26"/>
        <v/>
      </c>
      <c r="Y34" s="68" t="str">
        <f t="shared" si="26"/>
        <v/>
      </c>
      <c r="Z34" s="68" t="str">
        <f t="shared" si="26"/>
        <v/>
      </c>
      <c r="AA34" s="68" t="str">
        <f t="shared" si="26"/>
        <v/>
      </c>
      <c r="AB34" s="68" t="str">
        <f t="shared" si="26"/>
        <v/>
      </c>
      <c r="AC34" s="68" t="str">
        <f t="shared" si="26"/>
        <v/>
      </c>
      <c r="AD34" s="68" t="str">
        <f t="shared" si="26"/>
        <v/>
      </c>
      <c r="AE34" s="68" t="str">
        <f t="shared" si="26"/>
        <v/>
      </c>
      <c r="AF34" s="68" t="str">
        <f t="shared" si="26"/>
        <v/>
      </c>
      <c r="AG34" s="68" t="str">
        <f t="shared" si="26"/>
        <v/>
      </c>
      <c r="AH34" s="68" t="str">
        <f t="shared" si="26"/>
        <v/>
      </c>
      <c r="AI34" s="68" t="str">
        <f t="shared" si="26"/>
        <v/>
      </c>
      <c r="AJ34" s="68" t="str">
        <f t="shared" si="26"/>
        <v/>
      </c>
      <c r="AK34" s="68" t="str">
        <f t="shared" si="26"/>
        <v/>
      </c>
      <c r="AL34" s="68" t="str">
        <f t="shared" si="26"/>
        <v/>
      </c>
      <c r="AM34" s="68" t="str">
        <f t="shared" si="26"/>
        <v/>
      </c>
      <c r="AN34" s="68" t="str">
        <f t="shared" si="26"/>
        <v/>
      </c>
      <c r="AO34" s="68" t="str">
        <f t="shared" si="26"/>
        <v/>
      </c>
      <c r="AP34" s="68" t="str">
        <f t="shared" si="26"/>
        <v/>
      </c>
      <c r="AQ34" s="68" t="str">
        <f t="shared" si="26"/>
        <v/>
      </c>
      <c r="AR34" s="68" t="str">
        <f t="shared" si="26"/>
        <v/>
      </c>
      <c r="AS34" s="68" t="str">
        <f t="shared" si="26"/>
        <v/>
      </c>
      <c r="AT34" s="68" t="str">
        <f t="shared" si="26"/>
        <v/>
      </c>
      <c r="AU34" s="68" t="str">
        <f t="shared" si="26"/>
        <v/>
      </c>
      <c r="AV34" s="68" t="str">
        <f t="shared" si="26"/>
        <v/>
      </c>
      <c r="AW34" s="68" t="str">
        <f t="shared" si="26"/>
        <v/>
      </c>
      <c r="AX34" s="68" t="str">
        <f t="shared" si="26"/>
        <v/>
      </c>
      <c r="AY34" s="68" t="str">
        <f t="shared" si="26"/>
        <v/>
      </c>
      <c r="AZ34" s="68" t="str">
        <f t="shared" si="26"/>
        <v/>
      </c>
      <c r="BA34" s="68" t="str">
        <f t="shared" si="26"/>
        <v/>
      </c>
      <c r="BB34" s="68" t="str">
        <f t="shared" si="26"/>
        <v/>
      </c>
      <c r="BC34" s="68" t="str">
        <f t="shared" si="26"/>
        <v/>
      </c>
      <c r="BD34" s="68" t="str">
        <f t="shared" si="26"/>
        <v/>
      </c>
      <c r="BE34" s="68" t="str">
        <f t="shared" si="26"/>
        <v/>
      </c>
      <c r="BF34" s="68" t="str">
        <f t="shared" si="26"/>
        <v/>
      </c>
      <c r="BG34" s="68" t="str">
        <f t="shared" si="26"/>
        <v/>
      </c>
      <c r="BH34" s="68" t="str">
        <f t="shared" si="26"/>
        <v/>
      </c>
      <c r="BI34" s="68" t="str">
        <f t="shared" si="26"/>
        <v/>
      </c>
      <c r="BJ34" s="68" t="str">
        <f t="shared" si="26"/>
        <v/>
      </c>
      <c r="BK34" s="68" t="str">
        <f t="shared" si="26"/>
        <v/>
      </c>
      <c r="BL34" s="68" t="str">
        <f t="shared" si="26"/>
        <v/>
      </c>
      <c r="BM34" s="27"/>
      <c r="BN34" s="27"/>
      <c r="BO34" s="27"/>
      <c r="BP34" s="27"/>
    </row>
    <row r="35" ht="39.75" customHeight="1">
      <c r="A35" s="15"/>
      <c r="B35" s="70"/>
      <c r="C35" s="64"/>
      <c r="D35" s="64"/>
      <c r="E35" s="65"/>
      <c r="F35" s="66"/>
      <c r="G35" s="67"/>
      <c r="H35" s="64"/>
      <c r="I35" s="68" t="str">
        <f t="shared" ref="I35:BL35" si="27">IF(AND($C35="Objetivo",I$7&gt;=$F35,I$7&lt;=$F35+$G35-1),2,IF(AND($C35="Marco",I$7&gt;=$F35,I$7&lt;=$F35+$G35-1),1,""))</f>
        <v/>
      </c>
      <c r="J35" s="68" t="str">
        <f t="shared" si="27"/>
        <v/>
      </c>
      <c r="K35" s="68" t="str">
        <f t="shared" si="27"/>
        <v/>
      </c>
      <c r="L35" s="68" t="str">
        <f t="shared" si="27"/>
        <v/>
      </c>
      <c r="M35" s="68" t="str">
        <f t="shared" si="27"/>
        <v/>
      </c>
      <c r="N35" s="68" t="str">
        <f t="shared" si="27"/>
        <v/>
      </c>
      <c r="O35" s="68" t="str">
        <f t="shared" si="27"/>
        <v/>
      </c>
      <c r="P35" s="68" t="str">
        <f t="shared" si="27"/>
        <v/>
      </c>
      <c r="Q35" s="68" t="str">
        <f t="shared" si="27"/>
        <v/>
      </c>
      <c r="R35" s="68" t="str">
        <f t="shared" si="27"/>
        <v/>
      </c>
      <c r="S35" s="68" t="str">
        <f t="shared" si="27"/>
        <v/>
      </c>
      <c r="T35" s="68" t="str">
        <f t="shared" si="27"/>
        <v/>
      </c>
      <c r="U35" s="68" t="str">
        <f t="shared" si="27"/>
        <v/>
      </c>
      <c r="V35" s="68" t="str">
        <f t="shared" si="27"/>
        <v/>
      </c>
      <c r="W35" s="68" t="str">
        <f t="shared" si="27"/>
        <v/>
      </c>
      <c r="X35" s="68" t="str">
        <f t="shared" si="27"/>
        <v/>
      </c>
      <c r="Y35" s="68" t="str">
        <f t="shared" si="27"/>
        <v/>
      </c>
      <c r="Z35" s="68" t="str">
        <f t="shared" si="27"/>
        <v/>
      </c>
      <c r="AA35" s="68" t="str">
        <f t="shared" si="27"/>
        <v/>
      </c>
      <c r="AB35" s="68" t="str">
        <f t="shared" si="27"/>
        <v/>
      </c>
      <c r="AC35" s="68" t="str">
        <f t="shared" si="27"/>
        <v/>
      </c>
      <c r="AD35" s="68" t="str">
        <f t="shared" si="27"/>
        <v/>
      </c>
      <c r="AE35" s="68" t="str">
        <f t="shared" si="27"/>
        <v/>
      </c>
      <c r="AF35" s="68" t="str">
        <f t="shared" si="27"/>
        <v/>
      </c>
      <c r="AG35" s="68" t="str">
        <f t="shared" si="27"/>
        <v/>
      </c>
      <c r="AH35" s="68" t="str">
        <f t="shared" si="27"/>
        <v/>
      </c>
      <c r="AI35" s="68" t="str">
        <f t="shared" si="27"/>
        <v/>
      </c>
      <c r="AJ35" s="68" t="str">
        <f t="shared" si="27"/>
        <v/>
      </c>
      <c r="AK35" s="68" t="str">
        <f t="shared" si="27"/>
        <v/>
      </c>
      <c r="AL35" s="68" t="str">
        <f t="shared" si="27"/>
        <v/>
      </c>
      <c r="AM35" s="68" t="str">
        <f t="shared" si="27"/>
        <v/>
      </c>
      <c r="AN35" s="68" t="str">
        <f t="shared" si="27"/>
        <v/>
      </c>
      <c r="AO35" s="68" t="str">
        <f t="shared" si="27"/>
        <v/>
      </c>
      <c r="AP35" s="68" t="str">
        <f t="shared" si="27"/>
        <v/>
      </c>
      <c r="AQ35" s="68" t="str">
        <f t="shared" si="27"/>
        <v/>
      </c>
      <c r="AR35" s="68" t="str">
        <f t="shared" si="27"/>
        <v/>
      </c>
      <c r="AS35" s="68" t="str">
        <f t="shared" si="27"/>
        <v/>
      </c>
      <c r="AT35" s="68" t="str">
        <f t="shared" si="27"/>
        <v/>
      </c>
      <c r="AU35" s="68" t="str">
        <f t="shared" si="27"/>
        <v/>
      </c>
      <c r="AV35" s="68" t="str">
        <f t="shared" si="27"/>
        <v/>
      </c>
      <c r="AW35" s="68" t="str">
        <f t="shared" si="27"/>
        <v/>
      </c>
      <c r="AX35" s="68" t="str">
        <f t="shared" si="27"/>
        <v/>
      </c>
      <c r="AY35" s="68" t="str">
        <f t="shared" si="27"/>
        <v/>
      </c>
      <c r="AZ35" s="68" t="str">
        <f t="shared" si="27"/>
        <v/>
      </c>
      <c r="BA35" s="68" t="str">
        <f t="shared" si="27"/>
        <v/>
      </c>
      <c r="BB35" s="68" t="str">
        <f t="shared" si="27"/>
        <v/>
      </c>
      <c r="BC35" s="68" t="str">
        <f t="shared" si="27"/>
        <v/>
      </c>
      <c r="BD35" s="68" t="str">
        <f t="shared" si="27"/>
        <v/>
      </c>
      <c r="BE35" s="68" t="str">
        <f t="shared" si="27"/>
        <v/>
      </c>
      <c r="BF35" s="68" t="str">
        <f t="shared" si="27"/>
        <v/>
      </c>
      <c r="BG35" s="68" t="str">
        <f t="shared" si="27"/>
        <v/>
      </c>
      <c r="BH35" s="68" t="str">
        <f t="shared" si="27"/>
        <v/>
      </c>
      <c r="BI35" s="68" t="str">
        <f t="shared" si="27"/>
        <v/>
      </c>
      <c r="BJ35" s="68" t="str">
        <f t="shared" si="27"/>
        <v/>
      </c>
      <c r="BK35" s="68" t="str">
        <f t="shared" si="27"/>
        <v/>
      </c>
      <c r="BL35" s="68" t="str">
        <f t="shared" si="27"/>
        <v/>
      </c>
      <c r="BM35" s="71"/>
      <c r="BN35" s="27"/>
      <c r="BO35" s="27"/>
      <c r="BP35" s="27"/>
    </row>
    <row r="36" ht="39.75" customHeight="1">
      <c r="A36" s="17"/>
      <c r="B36" s="70" t="s">
        <v>37</v>
      </c>
      <c r="C36" s="64"/>
      <c r="D36" s="64"/>
      <c r="E36" s="31"/>
      <c r="F36" s="66"/>
      <c r="G36" s="67"/>
      <c r="H36" s="64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27"/>
      <c r="BN36" s="27"/>
      <c r="BO36" s="27"/>
      <c r="BP36" s="27"/>
    </row>
    <row r="37" ht="30.0" customHeight="1">
      <c r="A37" s="15"/>
      <c r="F37" s="16"/>
    </row>
    <row r="38" ht="30.0" customHeight="1">
      <c r="A38" s="15"/>
      <c r="F38" s="16"/>
    </row>
    <row r="39" ht="30.0" customHeight="1">
      <c r="A39" s="15"/>
      <c r="F39" s="16"/>
    </row>
    <row r="40" ht="30.0" customHeight="1">
      <c r="A40" s="15"/>
      <c r="F40" s="16"/>
    </row>
    <row r="41" ht="30.0" customHeight="1">
      <c r="A41" s="15"/>
      <c r="F41" s="16"/>
    </row>
    <row r="42" ht="30.0" customHeight="1">
      <c r="A42" s="15"/>
      <c r="F42" s="16"/>
    </row>
    <row r="43" ht="30.0" customHeight="1">
      <c r="A43" s="15"/>
      <c r="F43" s="16"/>
    </row>
    <row r="44" ht="30.0" customHeight="1">
      <c r="A44" s="15"/>
      <c r="F44" s="16"/>
    </row>
    <row r="45" ht="30.0" customHeight="1">
      <c r="A45" s="15"/>
      <c r="F45" s="16"/>
    </row>
    <row r="46" ht="30.0" customHeight="1">
      <c r="A46" s="15"/>
      <c r="F46" s="16"/>
    </row>
    <row r="47" ht="30.0" customHeight="1">
      <c r="A47" s="15"/>
      <c r="F47" s="16"/>
    </row>
    <row r="48" ht="30.0" customHeight="1">
      <c r="A48" s="15"/>
      <c r="F48" s="16"/>
    </row>
    <row r="49" ht="30.0" customHeight="1">
      <c r="A49" s="15"/>
      <c r="F49" s="16"/>
    </row>
    <row r="50" ht="30.0" customHeight="1">
      <c r="A50" s="15"/>
      <c r="F50" s="16"/>
    </row>
    <row r="51" ht="30.0" customHeight="1">
      <c r="A51" s="15"/>
      <c r="F51" s="16"/>
    </row>
    <row r="52" ht="30.0" customHeight="1">
      <c r="A52" s="15"/>
      <c r="F52" s="16"/>
    </row>
    <row r="53" ht="30.0" customHeight="1">
      <c r="A53" s="15"/>
      <c r="F53" s="16"/>
    </row>
    <row r="54" ht="30.0" customHeight="1">
      <c r="A54" s="15"/>
      <c r="F54" s="16"/>
    </row>
    <row r="55" ht="30.0" customHeight="1">
      <c r="A55" s="15"/>
      <c r="F55" s="16"/>
    </row>
    <row r="56" ht="30.0" customHeight="1">
      <c r="A56" s="15"/>
      <c r="F56" s="16"/>
    </row>
    <row r="57" ht="30.0" customHeight="1">
      <c r="A57" s="15"/>
      <c r="F57" s="16"/>
    </row>
    <row r="58" ht="30.0" customHeight="1">
      <c r="A58" s="15"/>
      <c r="F58" s="16"/>
    </row>
    <row r="59" ht="30.0" customHeight="1">
      <c r="A59" s="15"/>
      <c r="F59" s="16"/>
    </row>
    <row r="60" ht="30.0" customHeight="1">
      <c r="A60" s="15"/>
      <c r="F60" s="16"/>
    </row>
    <row r="61" ht="30.0" customHeight="1">
      <c r="A61" s="15"/>
      <c r="F61" s="16"/>
    </row>
    <row r="62" ht="30.0" customHeight="1">
      <c r="A62" s="15"/>
      <c r="F62" s="16"/>
    </row>
    <row r="63" ht="30.0" customHeight="1">
      <c r="A63" s="15"/>
      <c r="F63" s="16"/>
    </row>
    <row r="64" ht="30.0" customHeight="1">
      <c r="A64" s="15"/>
      <c r="F64" s="16"/>
    </row>
    <row r="65" ht="30.0" customHeight="1">
      <c r="A65" s="15"/>
      <c r="F65" s="16"/>
    </row>
    <row r="66" ht="30.0" customHeight="1">
      <c r="A66" s="15"/>
      <c r="F66" s="16"/>
    </row>
    <row r="67" ht="30.0" customHeight="1">
      <c r="A67" s="15"/>
      <c r="F67" s="16"/>
    </row>
    <row r="68" ht="30.0" customHeight="1">
      <c r="A68" s="15"/>
      <c r="F68" s="16"/>
    </row>
    <row r="69" ht="30.0" customHeight="1">
      <c r="A69" s="15"/>
      <c r="F69" s="16"/>
    </row>
    <row r="70" ht="30.0" customHeight="1">
      <c r="A70" s="15"/>
      <c r="F70" s="16"/>
    </row>
    <row r="71" ht="30.0" customHeight="1">
      <c r="A71" s="15"/>
      <c r="F71" s="16"/>
    </row>
    <row r="72" ht="30.0" customHeight="1">
      <c r="A72" s="15"/>
      <c r="F72" s="16"/>
    </row>
    <row r="73" ht="30.0" customHeight="1">
      <c r="A73" s="15"/>
      <c r="F73" s="16"/>
    </row>
    <row r="74" ht="30.0" customHeight="1">
      <c r="A74" s="15"/>
      <c r="F74" s="16"/>
    </row>
    <row r="75" ht="30.0" customHeight="1">
      <c r="A75" s="15"/>
      <c r="F75" s="16"/>
    </row>
    <row r="76" ht="30.0" customHeight="1">
      <c r="A76" s="15"/>
      <c r="F76" s="16"/>
    </row>
    <row r="77" ht="30.0" customHeight="1">
      <c r="A77" s="15"/>
      <c r="F77" s="16"/>
    </row>
    <row r="78" ht="30.0" customHeight="1">
      <c r="A78" s="15"/>
      <c r="F78" s="16"/>
    </row>
    <row r="79" ht="30.0" customHeight="1">
      <c r="A79" s="15"/>
      <c r="F79" s="16"/>
    </row>
    <row r="80" ht="30.0" customHeight="1">
      <c r="A80" s="15"/>
      <c r="F80" s="16"/>
    </row>
    <row r="81" ht="30.0" customHeight="1">
      <c r="A81" s="15"/>
      <c r="F81" s="16"/>
    </row>
    <row r="82" ht="30.0" customHeight="1">
      <c r="A82" s="15"/>
      <c r="F82" s="16"/>
    </row>
    <row r="83" ht="30.0" customHeight="1">
      <c r="A83" s="15"/>
      <c r="F83" s="16"/>
    </row>
    <row r="84" ht="30.0" customHeight="1">
      <c r="A84" s="15"/>
      <c r="F84" s="16"/>
    </row>
    <row r="85" ht="30.0" customHeight="1">
      <c r="A85" s="15"/>
      <c r="F85" s="16"/>
    </row>
    <row r="86" ht="30.0" customHeight="1">
      <c r="A86" s="15"/>
      <c r="F86" s="16"/>
    </row>
    <row r="87" ht="30.0" customHeight="1">
      <c r="A87" s="15"/>
      <c r="F87" s="16"/>
    </row>
    <row r="88" ht="30.0" customHeight="1">
      <c r="A88" s="15"/>
      <c r="F88" s="16"/>
    </row>
    <row r="89" ht="30.0" customHeight="1">
      <c r="A89" s="15"/>
      <c r="F89" s="16"/>
    </row>
    <row r="90" ht="30.0" customHeight="1">
      <c r="A90" s="15"/>
      <c r="F90" s="16"/>
    </row>
    <row r="91" ht="30.0" customHeight="1">
      <c r="A91" s="15"/>
      <c r="F91" s="16"/>
    </row>
    <row r="92" ht="30.0" customHeight="1">
      <c r="A92" s="15"/>
      <c r="F92" s="16"/>
    </row>
    <row r="93" ht="30.0" customHeight="1">
      <c r="A93" s="15"/>
      <c r="F93" s="16"/>
    </row>
    <row r="94" ht="30.0" customHeight="1">
      <c r="A94" s="15"/>
      <c r="F94" s="16"/>
    </row>
    <row r="95" ht="30.0" customHeight="1">
      <c r="A95" s="15"/>
      <c r="F95" s="16"/>
    </row>
    <row r="96" ht="30.0" customHeight="1">
      <c r="A96" s="15"/>
      <c r="F96" s="16"/>
    </row>
    <row r="97" ht="30.0" customHeight="1">
      <c r="A97" s="15"/>
      <c r="F97" s="16"/>
    </row>
    <row r="98" ht="30.0" customHeight="1">
      <c r="A98" s="15"/>
      <c r="F98" s="16"/>
    </row>
    <row r="99" ht="30.0" customHeight="1">
      <c r="A99" s="15"/>
      <c r="F99" s="16"/>
    </row>
    <row r="100" ht="30.0" customHeight="1">
      <c r="A100" s="15"/>
      <c r="F100" s="16"/>
    </row>
    <row r="101" ht="30.0" customHeight="1">
      <c r="A101" s="15"/>
      <c r="F101" s="16"/>
    </row>
    <row r="102" ht="30.0" customHeight="1">
      <c r="A102" s="15"/>
      <c r="F102" s="16"/>
    </row>
    <row r="103" ht="30.0" customHeight="1">
      <c r="A103" s="15"/>
      <c r="F103" s="16"/>
    </row>
    <row r="104" ht="30.0" customHeight="1">
      <c r="A104" s="15"/>
      <c r="F104" s="16"/>
    </row>
    <row r="105" ht="30.0" customHeight="1">
      <c r="A105" s="15"/>
      <c r="F105" s="16"/>
    </row>
    <row r="106" ht="30.0" customHeight="1">
      <c r="A106" s="15"/>
      <c r="F106" s="16"/>
    </row>
    <row r="107" ht="30.0" customHeight="1">
      <c r="A107" s="15"/>
      <c r="F107" s="16"/>
    </row>
    <row r="108" ht="30.0" customHeight="1">
      <c r="A108" s="15"/>
      <c r="F108" s="16"/>
    </row>
    <row r="109" ht="30.0" customHeight="1">
      <c r="A109" s="15"/>
      <c r="F109" s="16"/>
    </row>
    <row r="110" ht="30.0" customHeight="1">
      <c r="A110" s="15"/>
      <c r="F110" s="16"/>
    </row>
    <row r="111" ht="30.0" customHeight="1">
      <c r="A111" s="15"/>
      <c r="F111" s="16"/>
    </row>
    <row r="112" ht="30.0" customHeight="1">
      <c r="A112" s="15"/>
      <c r="F112" s="16"/>
    </row>
    <row r="113" ht="30.0" customHeight="1">
      <c r="A113" s="15"/>
      <c r="F113" s="16"/>
    </row>
    <row r="114" ht="30.0" customHeight="1">
      <c r="A114" s="15"/>
      <c r="F114" s="16"/>
    </row>
    <row r="115" ht="30.0" customHeight="1">
      <c r="A115" s="15"/>
      <c r="F115" s="16"/>
    </row>
    <row r="116" ht="30.0" customHeight="1">
      <c r="A116" s="15"/>
      <c r="F116" s="16"/>
    </row>
    <row r="117" ht="30.0" customHeight="1">
      <c r="A117" s="15"/>
      <c r="F117" s="16"/>
    </row>
    <row r="118" ht="30.0" customHeight="1">
      <c r="A118" s="15"/>
      <c r="F118" s="16"/>
    </row>
    <row r="119" ht="30.0" customHeight="1">
      <c r="A119" s="15"/>
      <c r="F119" s="16"/>
    </row>
    <row r="120" ht="30.0" customHeight="1">
      <c r="A120" s="15"/>
      <c r="F120" s="16"/>
    </row>
    <row r="121" ht="30.0" customHeight="1">
      <c r="A121" s="15"/>
      <c r="F121" s="16"/>
    </row>
    <row r="122" ht="30.0" customHeight="1">
      <c r="A122" s="15"/>
      <c r="F122" s="16"/>
    </row>
    <row r="123" ht="30.0" customHeight="1">
      <c r="A123" s="15"/>
      <c r="F123" s="16"/>
    </row>
    <row r="124" ht="30.0" customHeight="1">
      <c r="A124" s="15"/>
      <c r="F124" s="16"/>
    </row>
    <row r="125" ht="30.0" customHeight="1">
      <c r="A125" s="15"/>
      <c r="F125" s="16"/>
    </row>
    <row r="126" ht="30.0" customHeight="1">
      <c r="A126" s="15"/>
      <c r="F126" s="16"/>
    </row>
    <row r="127" ht="30.0" customHeight="1">
      <c r="A127" s="15"/>
      <c r="F127" s="16"/>
    </row>
    <row r="128" ht="30.0" customHeight="1">
      <c r="A128" s="15"/>
      <c r="F128" s="16"/>
    </row>
    <row r="129" ht="30.0" customHeight="1">
      <c r="A129" s="15"/>
      <c r="F129" s="16"/>
    </row>
    <row r="130" ht="30.0" customHeight="1">
      <c r="A130" s="15"/>
      <c r="F130" s="16"/>
    </row>
    <row r="131" ht="30.0" customHeight="1">
      <c r="A131" s="15"/>
      <c r="F131" s="16"/>
    </row>
    <row r="132" ht="30.0" customHeight="1">
      <c r="A132" s="15"/>
      <c r="F132" s="16"/>
    </row>
    <row r="133" ht="30.0" customHeight="1">
      <c r="A133" s="15"/>
      <c r="F133" s="16"/>
    </row>
    <row r="134" ht="30.0" customHeight="1">
      <c r="A134" s="15"/>
      <c r="F134" s="16"/>
    </row>
    <row r="135" ht="30.0" customHeight="1">
      <c r="A135" s="15"/>
      <c r="F135" s="16"/>
    </row>
    <row r="136" ht="30.0" customHeight="1">
      <c r="A136" s="15"/>
      <c r="F136" s="16"/>
    </row>
    <row r="137" ht="30.0" customHeight="1">
      <c r="A137" s="15"/>
      <c r="F137" s="16"/>
    </row>
    <row r="138" ht="30.0" customHeight="1">
      <c r="A138" s="15"/>
      <c r="F138" s="16"/>
    </row>
    <row r="139" ht="30.0" customHeight="1">
      <c r="A139" s="15"/>
      <c r="F139" s="16"/>
    </row>
    <row r="140" ht="30.0" customHeight="1">
      <c r="A140" s="15"/>
      <c r="F140" s="16"/>
    </row>
    <row r="141" ht="30.0" customHeight="1">
      <c r="A141" s="15"/>
      <c r="F141" s="16"/>
    </row>
    <row r="142" ht="30.0" customHeight="1">
      <c r="A142" s="15"/>
      <c r="F142" s="16"/>
    </row>
    <row r="143" ht="30.0" customHeight="1">
      <c r="A143" s="15"/>
      <c r="F143" s="16"/>
    </row>
    <row r="144" ht="30.0" customHeight="1">
      <c r="A144" s="15"/>
      <c r="F144" s="16"/>
    </row>
    <row r="145" ht="30.0" customHeight="1">
      <c r="A145" s="15"/>
      <c r="F145" s="16"/>
    </row>
    <row r="146" ht="30.0" customHeight="1">
      <c r="A146" s="15"/>
      <c r="F146" s="16"/>
    </row>
    <row r="147" ht="30.0" customHeight="1">
      <c r="A147" s="15"/>
      <c r="F147" s="16"/>
    </row>
    <row r="148" ht="30.0" customHeight="1">
      <c r="A148" s="15"/>
      <c r="F148" s="16"/>
    </row>
    <row r="149" ht="30.0" customHeight="1">
      <c r="A149" s="15"/>
      <c r="F149" s="16"/>
    </row>
    <row r="150" ht="30.0" customHeight="1">
      <c r="A150" s="15"/>
      <c r="F150" s="16"/>
    </row>
    <row r="151" ht="30.0" customHeight="1">
      <c r="A151" s="15"/>
      <c r="F151" s="16"/>
    </row>
    <row r="152" ht="30.0" customHeight="1">
      <c r="A152" s="15"/>
      <c r="F152" s="16"/>
    </row>
    <row r="153" ht="30.0" customHeight="1">
      <c r="A153" s="15"/>
      <c r="F153" s="16"/>
    </row>
    <row r="154" ht="30.0" customHeight="1">
      <c r="A154" s="15"/>
      <c r="F154" s="16"/>
    </row>
    <row r="155" ht="30.0" customHeight="1">
      <c r="A155" s="15"/>
      <c r="F155" s="16"/>
    </row>
    <row r="156" ht="30.0" customHeight="1">
      <c r="A156" s="15"/>
      <c r="F156" s="16"/>
    </row>
    <row r="157" ht="30.0" customHeight="1">
      <c r="A157" s="15"/>
      <c r="F157" s="16"/>
    </row>
    <row r="158" ht="30.0" customHeight="1">
      <c r="A158" s="15"/>
      <c r="F158" s="16"/>
    </row>
    <row r="159" ht="30.0" customHeight="1">
      <c r="A159" s="15"/>
      <c r="F159" s="16"/>
    </row>
    <row r="160" ht="30.0" customHeight="1">
      <c r="A160" s="15"/>
      <c r="F160" s="16"/>
    </row>
    <row r="161" ht="30.0" customHeight="1">
      <c r="A161" s="15"/>
      <c r="F161" s="16"/>
    </row>
    <row r="162" ht="30.0" customHeight="1">
      <c r="A162" s="15"/>
      <c r="F162" s="16"/>
    </row>
    <row r="163" ht="30.0" customHeight="1">
      <c r="A163" s="15"/>
      <c r="F163" s="16"/>
    </row>
    <row r="164" ht="30.0" customHeight="1">
      <c r="A164" s="15"/>
      <c r="F164" s="16"/>
    </row>
    <row r="165" ht="30.0" customHeight="1">
      <c r="A165" s="15"/>
      <c r="F165" s="16"/>
    </row>
    <row r="166" ht="30.0" customHeight="1">
      <c r="A166" s="15"/>
      <c r="F166" s="16"/>
    </row>
    <row r="167" ht="30.0" customHeight="1">
      <c r="A167" s="15"/>
      <c r="F167" s="16"/>
    </row>
    <row r="168" ht="30.0" customHeight="1">
      <c r="A168" s="15"/>
      <c r="F168" s="16"/>
    </row>
    <row r="169" ht="30.0" customHeight="1">
      <c r="A169" s="15"/>
      <c r="F169" s="16"/>
    </row>
    <row r="170" ht="30.0" customHeight="1">
      <c r="A170" s="15"/>
      <c r="F170" s="16"/>
    </row>
    <row r="171" ht="30.0" customHeight="1">
      <c r="A171" s="15"/>
      <c r="F171" s="16"/>
    </row>
    <row r="172" ht="30.0" customHeight="1">
      <c r="A172" s="15"/>
      <c r="F172" s="16"/>
    </row>
    <row r="173" ht="30.0" customHeight="1">
      <c r="A173" s="15"/>
      <c r="F173" s="16"/>
    </row>
    <row r="174" ht="30.0" customHeight="1">
      <c r="A174" s="15"/>
      <c r="F174" s="16"/>
    </row>
    <row r="175" ht="30.0" customHeight="1">
      <c r="A175" s="15"/>
      <c r="F175" s="16"/>
    </row>
    <row r="176" ht="30.0" customHeight="1">
      <c r="A176" s="15"/>
      <c r="F176" s="16"/>
    </row>
    <row r="177" ht="30.0" customHeight="1">
      <c r="A177" s="15"/>
      <c r="F177" s="16"/>
    </row>
    <row r="178" ht="30.0" customHeight="1">
      <c r="A178" s="15"/>
      <c r="F178" s="16"/>
    </row>
    <row r="179" ht="30.0" customHeight="1">
      <c r="A179" s="15"/>
      <c r="F179" s="16"/>
    </row>
    <row r="180" ht="30.0" customHeight="1">
      <c r="A180" s="15"/>
      <c r="F180" s="16"/>
    </row>
    <row r="181" ht="30.0" customHeight="1">
      <c r="A181" s="15"/>
      <c r="F181" s="16"/>
    </row>
    <row r="182" ht="30.0" customHeight="1">
      <c r="A182" s="15"/>
      <c r="F182" s="16"/>
    </row>
    <row r="183" ht="30.0" customHeight="1">
      <c r="A183" s="15"/>
      <c r="F183" s="16"/>
    </row>
    <row r="184" ht="30.0" customHeight="1">
      <c r="A184" s="15"/>
      <c r="F184" s="16"/>
    </row>
    <row r="185" ht="30.0" customHeight="1">
      <c r="A185" s="15"/>
      <c r="F185" s="16"/>
    </row>
    <row r="186" ht="30.0" customHeight="1">
      <c r="A186" s="15"/>
      <c r="F186" s="16"/>
    </row>
    <row r="187" ht="30.0" customHeight="1">
      <c r="A187" s="15"/>
      <c r="F187" s="16"/>
    </row>
    <row r="188" ht="30.0" customHeight="1">
      <c r="A188" s="15"/>
      <c r="F188" s="16"/>
    </row>
    <row r="189" ht="30.0" customHeight="1">
      <c r="A189" s="15"/>
      <c r="F189" s="16"/>
    </row>
    <row r="190" ht="30.0" customHeight="1">
      <c r="A190" s="15"/>
      <c r="F190" s="16"/>
    </row>
    <row r="191" ht="30.0" customHeight="1">
      <c r="A191" s="15"/>
      <c r="F191" s="16"/>
    </row>
    <row r="192" ht="30.0" customHeight="1">
      <c r="A192" s="15"/>
      <c r="F192" s="16"/>
    </row>
    <row r="193" ht="30.0" customHeight="1">
      <c r="A193" s="15"/>
      <c r="F193" s="16"/>
    </row>
    <row r="194" ht="30.0" customHeight="1">
      <c r="A194" s="15"/>
      <c r="F194" s="16"/>
    </row>
    <row r="195" ht="30.0" customHeight="1">
      <c r="A195" s="15"/>
      <c r="F195" s="16"/>
    </row>
    <row r="196" ht="30.0" customHeight="1">
      <c r="A196" s="15"/>
      <c r="F196" s="16"/>
    </row>
    <row r="197" ht="30.0" customHeight="1">
      <c r="A197" s="15"/>
      <c r="F197" s="16"/>
    </row>
    <row r="198" ht="30.0" customHeight="1">
      <c r="A198" s="15"/>
      <c r="F198" s="16"/>
    </row>
    <row r="199" ht="30.0" customHeight="1">
      <c r="A199" s="15"/>
      <c r="F199" s="16"/>
    </row>
    <row r="200" ht="30.0" customHeight="1">
      <c r="A200" s="15"/>
      <c r="F200" s="16"/>
    </row>
    <row r="201" ht="30.0" customHeight="1">
      <c r="A201" s="15"/>
      <c r="F201" s="16"/>
    </row>
    <row r="202" ht="30.0" customHeight="1">
      <c r="A202" s="15"/>
      <c r="F202" s="16"/>
    </row>
    <row r="203" ht="30.0" customHeight="1">
      <c r="A203" s="15"/>
      <c r="F203" s="16"/>
    </row>
    <row r="204" ht="30.0" customHeight="1">
      <c r="A204" s="15"/>
      <c r="F204" s="16"/>
    </row>
    <row r="205" ht="30.0" customHeight="1">
      <c r="A205" s="15"/>
      <c r="F205" s="16"/>
    </row>
    <row r="206" ht="30.0" customHeight="1">
      <c r="A206" s="15"/>
      <c r="F206" s="16"/>
    </row>
    <row r="207" ht="30.0" customHeight="1">
      <c r="A207" s="15"/>
      <c r="F207" s="16"/>
    </row>
    <row r="208" ht="30.0" customHeight="1">
      <c r="A208" s="15"/>
      <c r="F208" s="16"/>
    </row>
    <row r="209" ht="30.0" customHeight="1">
      <c r="A209" s="15"/>
      <c r="F209" s="16"/>
    </row>
    <row r="210" ht="30.0" customHeight="1">
      <c r="A210" s="15"/>
      <c r="F210" s="16"/>
    </row>
    <row r="211" ht="30.0" customHeight="1">
      <c r="A211" s="15"/>
      <c r="F211" s="16"/>
    </row>
    <row r="212" ht="30.0" customHeight="1">
      <c r="A212" s="15"/>
      <c r="F212" s="16"/>
    </row>
    <row r="213" ht="30.0" customHeight="1">
      <c r="A213" s="15"/>
      <c r="F213" s="16"/>
    </row>
    <row r="214" ht="30.0" customHeight="1">
      <c r="A214" s="15"/>
      <c r="F214" s="16"/>
    </row>
    <row r="215" ht="30.0" customHeight="1">
      <c r="A215" s="15"/>
      <c r="F215" s="16"/>
    </row>
    <row r="216" ht="30.0" customHeight="1">
      <c r="A216" s="15"/>
      <c r="F216" s="16"/>
    </row>
    <row r="217" ht="30.0" customHeight="1">
      <c r="A217" s="15"/>
      <c r="F217" s="16"/>
    </row>
    <row r="218" ht="30.0" customHeight="1">
      <c r="A218" s="15"/>
      <c r="F218" s="16"/>
    </row>
    <row r="219" ht="30.0" customHeight="1">
      <c r="A219" s="15"/>
      <c r="F219" s="16"/>
    </row>
    <row r="220" ht="30.0" customHeight="1">
      <c r="A220" s="15"/>
      <c r="F220" s="16"/>
    </row>
    <row r="221" ht="30.0" customHeight="1">
      <c r="A221" s="15"/>
      <c r="F221" s="16"/>
    </row>
    <row r="222" ht="30.0" customHeight="1">
      <c r="A222" s="15"/>
      <c r="F222" s="16"/>
    </row>
    <row r="223" ht="30.0" customHeight="1">
      <c r="A223" s="15"/>
      <c r="F223" s="16"/>
    </row>
    <row r="224" ht="30.0" customHeight="1">
      <c r="A224" s="15"/>
      <c r="F224" s="16"/>
    </row>
    <row r="225" ht="30.0" customHeight="1">
      <c r="A225" s="15"/>
      <c r="F225" s="16"/>
    </row>
    <row r="226" ht="30.0" customHeight="1">
      <c r="A226" s="15"/>
      <c r="F226" s="16"/>
    </row>
    <row r="227" ht="30.0" customHeight="1">
      <c r="A227" s="15"/>
      <c r="F227" s="16"/>
    </row>
    <row r="228" ht="30.0" customHeight="1">
      <c r="A228" s="15"/>
      <c r="F228" s="16"/>
    </row>
    <row r="229" ht="30.0" customHeight="1">
      <c r="A229" s="15"/>
      <c r="F229" s="16"/>
    </row>
    <row r="230" ht="30.0" customHeight="1">
      <c r="A230" s="15"/>
      <c r="F230" s="16"/>
    </row>
    <row r="231" ht="30.0" customHeight="1">
      <c r="A231" s="15"/>
      <c r="F231" s="16"/>
    </row>
    <row r="232" ht="30.0" customHeight="1">
      <c r="A232" s="15"/>
      <c r="F232" s="16"/>
    </row>
    <row r="233" ht="30.0" customHeight="1">
      <c r="A233" s="15"/>
      <c r="F233" s="16"/>
    </row>
    <row r="234" ht="30.0" customHeight="1">
      <c r="A234" s="15"/>
      <c r="F234" s="16"/>
    </row>
    <row r="235" ht="30.0" customHeight="1">
      <c r="A235" s="15"/>
      <c r="F235" s="16"/>
    </row>
    <row r="236" ht="30.0" customHeight="1">
      <c r="A236" s="15"/>
      <c r="F236" s="16"/>
    </row>
    <row r="237" ht="30.0" customHeight="1">
      <c r="A237" s="15"/>
      <c r="F237" s="16"/>
    </row>
    <row r="238" ht="30.0" customHeight="1">
      <c r="A238" s="15"/>
      <c r="F238" s="16"/>
    </row>
    <row r="239" ht="30.0" customHeight="1">
      <c r="A239" s="15"/>
      <c r="F239" s="16"/>
    </row>
    <row r="240" ht="30.0" customHeight="1">
      <c r="A240" s="15"/>
      <c r="F240" s="16"/>
    </row>
    <row r="241" ht="30.0" customHeight="1">
      <c r="A241" s="15"/>
      <c r="F241" s="16"/>
    </row>
    <row r="242" ht="30.0" customHeight="1">
      <c r="A242" s="15"/>
      <c r="F242" s="16"/>
    </row>
    <row r="243" ht="30.0" customHeight="1">
      <c r="A243" s="15"/>
      <c r="F243" s="16"/>
    </row>
    <row r="244" ht="30.0" customHeight="1">
      <c r="A244" s="15"/>
      <c r="F244" s="16"/>
    </row>
    <row r="245" ht="30.0" customHeight="1">
      <c r="A245" s="15"/>
      <c r="F245" s="16"/>
    </row>
    <row r="246" ht="30.0" customHeight="1">
      <c r="A246" s="15"/>
      <c r="F246" s="16"/>
    </row>
    <row r="247" ht="30.0" customHeight="1">
      <c r="A247" s="15"/>
      <c r="F247" s="16"/>
    </row>
    <row r="248" ht="30.0" customHeight="1">
      <c r="A248" s="15"/>
      <c r="F248" s="16"/>
    </row>
    <row r="249" ht="30.0" customHeight="1">
      <c r="A249" s="15"/>
      <c r="F249" s="16"/>
    </row>
    <row r="250" ht="30.0" customHeight="1">
      <c r="A250" s="15"/>
      <c r="F250" s="16"/>
    </row>
    <row r="251" ht="30.0" customHeight="1">
      <c r="A251" s="15"/>
      <c r="F251" s="16"/>
    </row>
    <row r="252" ht="30.0" customHeight="1">
      <c r="A252" s="15"/>
      <c r="F252" s="16"/>
    </row>
    <row r="253" ht="30.0" customHeight="1">
      <c r="A253" s="15"/>
      <c r="F253" s="16"/>
    </row>
    <row r="254" ht="30.0" customHeight="1">
      <c r="A254" s="15"/>
      <c r="F254" s="16"/>
    </row>
    <row r="255" ht="30.0" customHeight="1">
      <c r="A255" s="15"/>
      <c r="F255" s="16"/>
    </row>
    <row r="256" ht="30.0" customHeight="1">
      <c r="A256" s="15"/>
      <c r="F256" s="16"/>
    </row>
    <row r="257" ht="30.0" customHeight="1">
      <c r="A257" s="15"/>
      <c r="F257" s="16"/>
    </row>
    <row r="258" ht="30.0" customHeight="1">
      <c r="A258" s="15"/>
      <c r="F258" s="16"/>
    </row>
    <row r="259" ht="30.0" customHeight="1">
      <c r="A259" s="15"/>
      <c r="F259" s="16"/>
    </row>
    <row r="260" ht="30.0" customHeight="1">
      <c r="A260" s="15"/>
      <c r="F260" s="16"/>
    </row>
    <row r="261" ht="30.0" customHeight="1">
      <c r="A261" s="15"/>
      <c r="F261" s="16"/>
    </row>
    <row r="262" ht="30.0" customHeight="1">
      <c r="A262" s="15"/>
      <c r="F262" s="16"/>
    </row>
    <row r="263" ht="30.0" customHeight="1">
      <c r="A263" s="15"/>
      <c r="F263" s="16"/>
    </row>
    <row r="264" ht="30.0" customHeight="1">
      <c r="A264" s="15"/>
      <c r="F264" s="16"/>
    </row>
    <row r="265" ht="30.0" customHeight="1">
      <c r="A265" s="15"/>
      <c r="F265" s="16"/>
    </row>
    <row r="266" ht="30.0" customHeight="1">
      <c r="A266" s="15"/>
      <c r="F266" s="16"/>
    </row>
    <row r="267" ht="30.0" customHeight="1">
      <c r="A267" s="15"/>
      <c r="F267" s="16"/>
    </row>
    <row r="268" ht="30.0" customHeight="1">
      <c r="A268" s="15"/>
      <c r="F268" s="16"/>
    </row>
    <row r="269" ht="30.0" customHeight="1">
      <c r="A269" s="15"/>
      <c r="F269" s="16"/>
    </row>
    <row r="270" ht="30.0" customHeight="1">
      <c r="A270" s="15"/>
      <c r="F270" s="16"/>
    </row>
    <row r="271" ht="30.0" customHeight="1">
      <c r="A271" s="15"/>
      <c r="F271" s="16"/>
    </row>
    <row r="272" ht="30.0" customHeight="1">
      <c r="A272" s="15"/>
      <c r="F272" s="16"/>
    </row>
    <row r="273" ht="30.0" customHeight="1">
      <c r="A273" s="15"/>
      <c r="F273" s="16"/>
    </row>
    <row r="274" ht="30.0" customHeight="1">
      <c r="A274" s="15"/>
      <c r="F274" s="16"/>
    </row>
    <row r="275" ht="30.0" customHeight="1">
      <c r="A275" s="15"/>
      <c r="F275" s="16"/>
    </row>
    <row r="276" ht="30.0" customHeight="1">
      <c r="A276" s="15"/>
      <c r="F276" s="16"/>
    </row>
    <row r="277" ht="30.0" customHeight="1">
      <c r="A277" s="15"/>
      <c r="F277" s="16"/>
    </row>
    <row r="278" ht="30.0" customHeight="1">
      <c r="A278" s="15"/>
      <c r="F278" s="16"/>
    </row>
    <row r="279" ht="30.0" customHeight="1">
      <c r="A279" s="15"/>
      <c r="F279" s="16"/>
    </row>
    <row r="280" ht="30.0" customHeight="1">
      <c r="A280" s="15"/>
      <c r="F280" s="16"/>
    </row>
    <row r="281" ht="30.0" customHeight="1">
      <c r="A281" s="15"/>
      <c r="F281" s="16"/>
    </row>
    <row r="282" ht="30.0" customHeight="1">
      <c r="A282" s="15"/>
      <c r="F282" s="16"/>
    </row>
    <row r="283" ht="30.0" customHeight="1">
      <c r="A283" s="15"/>
      <c r="F283" s="16"/>
    </row>
    <row r="284" ht="30.0" customHeight="1">
      <c r="A284" s="15"/>
      <c r="F284" s="16"/>
    </row>
    <row r="285" ht="30.0" customHeight="1">
      <c r="A285" s="15"/>
      <c r="F285" s="16"/>
    </row>
    <row r="286" ht="30.0" customHeight="1">
      <c r="A286" s="15"/>
      <c r="F286" s="16"/>
    </row>
    <row r="287" ht="30.0" customHeight="1">
      <c r="A287" s="15"/>
      <c r="F287" s="16"/>
    </row>
    <row r="288" ht="30.0" customHeight="1">
      <c r="A288" s="15"/>
      <c r="F288" s="16"/>
    </row>
    <row r="289" ht="30.0" customHeight="1">
      <c r="A289" s="15"/>
      <c r="F289" s="16"/>
    </row>
    <row r="290" ht="30.0" customHeight="1">
      <c r="A290" s="15"/>
      <c r="F290" s="16"/>
    </row>
    <row r="291" ht="30.0" customHeight="1">
      <c r="A291" s="15"/>
      <c r="F291" s="16"/>
    </row>
    <row r="292" ht="30.0" customHeight="1">
      <c r="A292" s="15"/>
      <c r="F292" s="16"/>
    </row>
    <row r="293" ht="30.0" customHeight="1">
      <c r="A293" s="15"/>
      <c r="F293" s="16"/>
    </row>
    <row r="294" ht="30.0" customHeight="1">
      <c r="A294" s="15"/>
      <c r="F294" s="16"/>
    </row>
    <row r="295" ht="30.0" customHeight="1">
      <c r="A295" s="15"/>
      <c r="F295" s="16"/>
    </row>
    <row r="296" ht="30.0" customHeight="1">
      <c r="A296" s="15"/>
      <c r="F296" s="16"/>
    </row>
    <row r="297" ht="30.0" customHeight="1">
      <c r="A297" s="15"/>
      <c r="F297" s="16"/>
    </row>
    <row r="298" ht="30.0" customHeight="1">
      <c r="A298" s="15"/>
      <c r="F298" s="16"/>
    </row>
    <row r="299" ht="30.0" customHeight="1">
      <c r="A299" s="15"/>
      <c r="F299" s="16"/>
    </row>
    <row r="300" ht="30.0" customHeight="1">
      <c r="A300" s="15"/>
      <c r="F300" s="16"/>
    </row>
    <row r="301" ht="30.0" customHeight="1">
      <c r="A301" s="15"/>
      <c r="F301" s="16"/>
    </row>
    <row r="302" ht="30.0" customHeight="1">
      <c r="A302" s="15"/>
      <c r="F302" s="16"/>
    </row>
    <row r="303" ht="30.0" customHeight="1">
      <c r="A303" s="15"/>
      <c r="F303" s="16"/>
    </row>
    <row r="304" ht="30.0" customHeight="1">
      <c r="A304" s="15"/>
      <c r="F304" s="16"/>
    </row>
    <row r="305" ht="30.0" customHeight="1">
      <c r="A305" s="15"/>
      <c r="F305" s="16"/>
    </row>
    <row r="306" ht="30.0" customHeight="1">
      <c r="A306" s="15"/>
      <c r="F306" s="16"/>
    </row>
    <row r="307" ht="30.0" customHeight="1">
      <c r="A307" s="15"/>
      <c r="F307" s="16"/>
    </row>
    <row r="308" ht="30.0" customHeight="1">
      <c r="A308" s="15"/>
      <c r="F308" s="16"/>
    </row>
    <row r="309" ht="30.0" customHeight="1">
      <c r="A309" s="15"/>
      <c r="F309" s="16"/>
    </row>
    <row r="310" ht="30.0" customHeight="1">
      <c r="A310" s="15"/>
      <c r="F310" s="16"/>
    </row>
    <row r="311" ht="30.0" customHeight="1">
      <c r="A311" s="15"/>
      <c r="F311" s="16"/>
    </row>
    <row r="312" ht="30.0" customHeight="1">
      <c r="A312" s="15"/>
      <c r="F312" s="16"/>
    </row>
    <row r="313" ht="30.0" customHeight="1">
      <c r="A313" s="15"/>
      <c r="F313" s="16"/>
    </row>
    <row r="314" ht="30.0" customHeight="1">
      <c r="A314" s="15"/>
      <c r="F314" s="16"/>
    </row>
    <row r="315" ht="30.0" customHeight="1">
      <c r="A315" s="15"/>
      <c r="F315" s="16"/>
    </row>
    <row r="316" ht="30.0" customHeight="1">
      <c r="A316" s="15"/>
      <c r="F316" s="16"/>
    </row>
    <row r="317" ht="30.0" customHeight="1">
      <c r="A317" s="15"/>
      <c r="F317" s="16"/>
    </row>
    <row r="318" ht="30.0" customHeight="1">
      <c r="A318" s="15"/>
      <c r="F318" s="16"/>
    </row>
    <row r="319" ht="30.0" customHeight="1">
      <c r="A319" s="15"/>
      <c r="F319" s="16"/>
    </row>
    <row r="320" ht="30.0" customHeight="1">
      <c r="A320" s="15"/>
      <c r="F320" s="16"/>
    </row>
    <row r="321" ht="30.0" customHeight="1">
      <c r="A321" s="15"/>
      <c r="F321" s="16"/>
    </row>
    <row r="322" ht="30.0" customHeight="1">
      <c r="A322" s="15"/>
      <c r="F322" s="16"/>
    </row>
    <row r="323" ht="30.0" customHeight="1">
      <c r="A323" s="15"/>
      <c r="F323" s="16"/>
    </row>
    <row r="324" ht="30.0" customHeight="1">
      <c r="A324" s="15"/>
      <c r="F324" s="16"/>
    </row>
    <row r="325" ht="30.0" customHeight="1">
      <c r="A325" s="15"/>
      <c r="F325" s="16"/>
    </row>
    <row r="326" ht="30.0" customHeight="1">
      <c r="A326" s="15"/>
      <c r="F326" s="16"/>
    </row>
    <row r="327" ht="30.0" customHeight="1">
      <c r="A327" s="15"/>
      <c r="F327" s="16"/>
    </row>
    <row r="328" ht="30.0" customHeight="1">
      <c r="A328" s="15"/>
      <c r="F328" s="16"/>
    </row>
    <row r="329" ht="30.0" customHeight="1">
      <c r="A329" s="15"/>
      <c r="F329" s="16"/>
    </row>
    <row r="330" ht="30.0" customHeight="1">
      <c r="A330" s="15"/>
      <c r="F330" s="16"/>
    </row>
    <row r="331" ht="30.0" customHeight="1">
      <c r="A331" s="15"/>
      <c r="F331" s="16"/>
    </row>
    <row r="332" ht="30.0" customHeight="1">
      <c r="A332" s="15"/>
      <c r="F332" s="16"/>
    </row>
    <row r="333" ht="30.0" customHeight="1">
      <c r="A333" s="15"/>
      <c r="F333" s="16"/>
    </row>
    <row r="334" ht="30.0" customHeight="1">
      <c r="A334" s="15"/>
      <c r="F334" s="16"/>
    </row>
    <row r="335" ht="30.0" customHeight="1">
      <c r="A335" s="15"/>
      <c r="F335" s="16"/>
    </row>
    <row r="336" ht="30.0" customHeight="1">
      <c r="A336" s="15"/>
      <c r="F336" s="16"/>
    </row>
    <row r="337" ht="30.0" customHeight="1">
      <c r="A337" s="15"/>
      <c r="F337" s="16"/>
    </row>
    <row r="338" ht="30.0" customHeight="1">
      <c r="A338" s="15"/>
      <c r="F338" s="16"/>
    </row>
    <row r="339" ht="30.0" customHeight="1">
      <c r="A339" s="15"/>
      <c r="F339" s="16"/>
    </row>
    <row r="340" ht="30.0" customHeight="1">
      <c r="A340" s="15"/>
      <c r="F340" s="16"/>
    </row>
    <row r="341" ht="30.0" customHeight="1">
      <c r="A341" s="15"/>
      <c r="F341" s="16"/>
    </row>
    <row r="342" ht="30.0" customHeight="1">
      <c r="A342" s="15"/>
      <c r="F342" s="16"/>
    </row>
    <row r="343" ht="30.0" customHeight="1">
      <c r="A343" s="15"/>
      <c r="F343" s="16"/>
    </row>
    <row r="344" ht="30.0" customHeight="1">
      <c r="A344" s="15"/>
      <c r="F344" s="16"/>
    </row>
    <row r="345" ht="30.0" customHeight="1">
      <c r="A345" s="15"/>
      <c r="F345" s="16"/>
    </row>
    <row r="346" ht="30.0" customHeight="1">
      <c r="A346" s="15"/>
      <c r="F346" s="16"/>
    </row>
    <row r="347" ht="30.0" customHeight="1">
      <c r="A347" s="15"/>
      <c r="F347" s="16"/>
    </row>
    <row r="348" ht="30.0" customHeight="1">
      <c r="A348" s="15"/>
      <c r="F348" s="16"/>
    </row>
    <row r="349" ht="30.0" customHeight="1">
      <c r="A349" s="15"/>
      <c r="F349" s="16"/>
    </row>
    <row r="350" ht="30.0" customHeight="1">
      <c r="A350" s="15"/>
      <c r="F350" s="16"/>
    </row>
    <row r="351" ht="30.0" customHeight="1">
      <c r="A351" s="15"/>
      <c r="F351" s="16"/>
    </row>
    <row r="352" ht="30.0" customHeight="1">
      <c r="A352" s="15"/>
      <c r="F352" s="16"/>
    </row>
    <row r="353" ht="30.0" customHeight="1">
      <c r="A353" s="15"/>
      <c r="F353" s="16"/>
    </row>
    <row r="354" ht="30.0" customHeight="1">
      <c r="A354" s="15"/>
      <c r="F354" s="16"/>
    </row>
    <row r="355" ht="30.0" customHeight="1">
      <c r="A355" s="15"/>
      <c r="F355" s="16"/>
    </row>
    <row r="356" ht="30.0" customHeight="1">
      <c r="A356" s="15"/>
      <c r="F356" s="16"/>
    </row>
    <row r="357" ht="30.0" customHeight="1">
      <c r="A357" s="15"/>
      <c r="F357" s="16"/>
    </row>
    <row r="358" ht="30.0" customHeight="1">
      <c r="A358" s="15"/>
      <c r="F358" s="16"/>
    </row>
    <row r="359" ht="30.0" customHeight="1">
      <c r="A359" s="15"/>
      <c r="F359" s="16"/>
    </row>
    <row r="360" ht="30.0" customHeight="1">
      <c r="A360" s="15"/>
      <c r="F360" s="16"/>
    </row>
    <row r="361" ht="30.0" customHeight="1">
      <c r="A361" s="15"/>
      <c r="F361" s="16"/>
    </row>
    <row r="362" ht="30.0" customHeight="1">
      <c r="A362" s="15"/>
      <c r="F362" s="16"/>
    </row>
    <row r="363" ht="30.0" customHeight="1">
      <c r="A363" s="15"/>
      <c r="F363" s="16"/>
    </row>
    <row r="364" ht="30.0" customHeight="1">
      <c r="A364" s="15"/>
      <c r="F364" s="16"/>
    </row>
    <row r="365" ht="30.0" customHeight="1">
      <c r="A365" s="15"/>
      <c r="F365" s="16"/>
    </row>
    <row r="366" ht="30.0" customHeight="1">
      <c r="A366" s="15"/>
      <c r="F366" s="16"/>
    </row>
    <row r="367" ht="30.0" customHeight="1">
      <c r="A367" s="15"/>
      <c r="F367" s="16"/>
    </row>
    <row r="368" ht="30.0" customHeight="1">
      <c r="A368" s="15"/>
      <c r="F368" s="16"/>
    </row>
    <row r="369" ht="30.0" customHeight="1">
      <c r="A369" s="15"/>
      <c r="F369" s="16"/>
    </row>
    <row r="370" ht="30.0" customHeight="1">
      <c r="A370" s="15"/>
      <c r="F370" s="16"/>
    </row>
    <row r="371" ht="30.0" customHeight="1">
      <c r="A371" s="15"/>
      <c r="F371" s="16"/>
    </row>
    <row r="372" ht="30.0" customHeight="1">
      <c r="A372" s="15"/>
      <c r="F372" s="16"/>
    </row>
    <row r="373" ht="30.0" customHeight="1">
      <c r="A373" s="15"/>
      <c r="F373" s="16"/>
    </row>
    <row r="374" ht="30.0" customHeight="1">
      <c r="A374" s="15"/>
      <c r="F374" s="16"/>
    </row>
    <row r="375" ht="30.0" customHeight="1">
      <c r="A375" s="15"/>
      <c r="F375" s="16"/>
    </row>
    <row r="376" ht="30.0" customHeight="1">
      <c r="A376" s="15"/>
      <c r="F376" s="16"/>
    </row>
    <row r="377" ht="30.0" customHeight="1">
      <c r="A377" s="15"/>
      <c r="F377" s="16"/>
    </row>
    <row r="378" ht="30.0" customHeight="1">
      <c r="A378" s="15"/>
      <c r="F378" s="16"/>
    </row>
    <row r="379" ht="30.0" customHeight="1">
      <c r="A379" s="15"/>
      <c r="F379" s="16"/>
    </row>
    <row r="380" ht="30.0" customHeight="1">
      <c r="A380" s="15"/>
      <c r="F380" s="16"/>
    </row>
    <row r="381" ht="30.0" customHeight="1">
      <c r="A381" s="15"/>
      <c r="F381" s="16"/>
    </row>
    <row r="382" ht="30.0" customHeight="1">
      <c r="A382" s="15"/>
      <c r="F382" s="16"/>
    </row>
    <row r="383" ht="30.0" customHeight="1">
      <c r="A383" s="15"/>
      <c r="F383" s="16"/>
    </row>
    <row r="384" ht="30.0" customHeight="1">
      <c r="A384" s="15"/>
      <c r="F384" s="16"/>
    </row>
    <row r="385" ht="30.0" customHeight="1">
      <c r="A385" s="15"/>
      <c r="F385" s="16"/>
    </row>
    <row r="386" ht="30.0" customHeight="1">
      <c r="A386" s="15"/>
      <c r="F386" s="16"/>
    </row>
    <row r="387" ht="30.0" customHeight="1">
      <c r="A387" s="15"/>
      <c r="F387" s="16"/>
    </row>
    <row r="388" ht="30.0" customHeight="1">
      <c r="A388" s="15"/>
      <c r="F388" s="16"/>
    </row>
    <row r="389" ht="30.0" customHeight="1">
      <c r="A389" s="15"/>
      <c r="F389" s="16"/>
    </row>
    <row r="390" ht="30.0" customHeight="1">
      <c r="A390" s="15"/>
      <c r="F390" s="16"/>
    </row>
    <row r="391" ht="30.0" customHeight="1">
      <c r="A391" s="15"/>
      <c r="F391" s="16"/>
    </row>
    <row r="392" ht="30.0" customHeight="1">
      <c r="A392" s="15"/>
      <c r="F392" s="16"/>
    </row>
    <row r="393" ht="30.0" customHeight="1">
      <c r="A393" s="15"/>
      <c r="F393" s="16"/>
    </row>
    <row r="394" ht="30.0" customHeight="1">
      <c r="A394" s="15"/>
      <c r="F394" s="16"/>
    </row>
    <row r="395" ht="30.0" customHeight="1">
      <c r="A395" s="15"/>
      <c r="F395" s="16"/>
    </row>
    <row r="396" ht="30.0" customHeight="1">
      <c r="A396" s="15"/>
      <c r="F396" s="16"/>
    </row>
    <row r="397" ht="30.0" customHeight="1">
      <c r="A397" s="15"/>
      <c r="F397" s="16"/>
    </row>
    <row r="398" ht="30.0" customHeight="1">
      <c r="A398" s="15"/>
      <c r="F398" s="16"/>
    </row>
    <row r="399" ht="30.0" customHeight="1">
      <c r="A399" s="15"/>
      <c r="F399" s="16"/>
    </row>
    <row r="400" ht="30.0" customHeight="1">
      <c r="A400" s="15"/>
      <c r="F400" s="16"/>
    </row>
    <row r="401" ht="30.0" customHeight="1">
      <c r="A401" s="15"/>
      <c r="F401" s="16"/>
    </row>
    <row r="402" ht="30.0" customHeight="1">
      <c r="A402" s="15"/>
      <c r="F402" s="16"/>
    </row>
    <row r="403" ht="30.0" customHeight="1">
      <c r="A403" s="15"/>
      <c r="F403" s="16"/>
    </row>
    <row r="404" ht="30.0" customHeight="1">
      <c r="A404" s="15"/>
      <c r="F404" s="16"/>
    </row>
    <row r="405" ht="30.0" customHeight="1">
      <c r="A405" s="15"/>
      <c r="F405" s="16"/>
    </row>
    <row r="406" ht="30.0" customHeight="1">
      <c r="A406" s="15"/>
      <c r="F406" s="16"/>
    </row>
    <row r="407" ht="30.0" customHeight="1">
      <c r="A407" s="15"/>
      <c r="F407" s="16"/>
    </row>
    <row r="408" ht="30.0" customHeight="1">
      <c r="A408" s="15"/>
      <c r="F408" s="16"/>
    </row>
    <row r="409" ht="30.0" customHeight="1">
      <c r="A409" s="15"/>
      <c r="F409" s="16"/>
    </row>
    <row r="410" ht="30.0" customHeight="1">
      <c r="A410" s="15"/>
      <c r="F410" s="16"/>
    </row>
    <row r="411" ht="30.0" customHeight="1">
      <c r="A411" s="15"/>
      <c r="F411" s="16"/>
    </row>
    <row r="412" ht="30.0" customHeight="1">
      <c r="A412" s="15"/>
      <c r="F412" s="16"/>
    </row>
    <row r="413" ht="30.0" customHeight="1">
      <c r="A413" s="15"/>
      <c r="F413" s="16"/>
    </row>
    <row r="414" ht="30.0" customHeight="1">
      <c r="A414" s="15"/>
      <c r="F414" s="16"/>
    </row>
    <row r="415" ht="30.0" customHeight="1">
      <c r="A415" s="15"/>
      <c r="F415" s="16"/>
    </row>
    <row r="416" ht="30.0" customHeight="1">
      <c r="A416" s="15"/>
      <c r="F416" s="16"/>
    </row>
    <row r="417" ht="30.0" customHeight="1">
      <c r="A417" s="15"/>
      <c r="F417" s="16"/>
    </row>
    <row r="418" ht="30.0" customHeight="1">
      <c r="A418" s="15"/>
      <c r="F418" s="16"/>
    </row>
    <row r="419" ht="30.0" customHeight="1">
      <c r="A419" s="15"/>
      <c r="F419" s="16"/>
    </row>
    <row r="420" ht="30.0" customHeight="1">
      <c r="A420" s="15"/>
      <c r="F420" s="16"/>
    </row>
    <row r="421" ht="30.0" customHeight="1">
      <c r="A421" s="15"/>
      <c r="F421" s="16"/>
    </row>
    <row r="422" ht="30.0" customHeight="1">
      <c r="A422" s="15"/>
      <c r="F422" s="16"/>
    </row>
    <row r="423" ht="30.0" customHeight="1">
      <c r="A423" s="15"/>
      <c r="F423" s="16"/>
    </row>
    <row r="424" ht="30.0" customHeight="1">
      <c r="A424" s="15"/>
      <c r="F424" s="16"/>
    </row>
    <row r="425" ht="30.0" customHeight="1">
      <c r="A425" s="15"/>
      <c r="F425" s="16"/>
    </row>
    <row r="426" ht="30.0" customHeight="1">
      <c r="A426" s="15"/>
      <c r="F426" s="16"/>
    </row>
    <row r="427" ht="30.0" customHeight="1">
      <c r="A427" s="15"/>
      <c r="F427" s="16"/>
    </row>
    <row r="428" ht="30.0" customHeight="1">
      <c r="A428" s="15"/>
      <c r="F428" s="16"/>
    </row>
    <row r="429" ht="30.0" customHeight="1">
      <c r="A429" s="15"/>
      <c r="F429" s="16"/>
    </row>
    <row r="430" ht="30.0" customHeight="1">
      <c r="A430" s="15"/>
      <c r="F430" s="16"/>
    </row>
    <row r="431" ht="30.0" customHeight="1">
      <c r="A431" s="15"/>
      <c r="F431" s="16"/>
    </row>
    <row r="432" ht="30.0" customHeight="1">
      <c r="A432" s="15"/>
      <c r="F432" s="16"/>
    </row>
    <row r="433" ht="30.0" customHeight="1">
      <c r="A433" s="15"/>
      <c r="F433" s="16"/>
    </row>
    <row r="434" ht="30.0" customHeight="1">
      <c r="A434" s="15"/>
      <c r="F434" s="16"/>
    </row>
    <row r="435" ht="30.0" customHeight="1">
      <c r="A435" s="15"/>
      <c r="F435" s="16"/>
    </row>
    <row r="436" ht="30.0" customHeight="1">
      <c r="A436" s="15"/>
      <c r="F436" s="16"/>
    </row>
    <row r="437" ht="30.0" customHeight="1">
      <c r="A437" s="15"/>
      <c r="F437" s="16"/>
    </row>
    <row r="438" ht="30.0" customHeight="1">
      <c r="A438" s="15"/>
      <c r="F438" s="16"/>
    </row>
    <row r="439" ht="30.0" customHeight="1">
      <c r="A439" s="15"/>
      <c r="F439" s="16"/>
    </row>
    <row r="440" ht="30.0" customHeight="1">
      <c r="A440" s="15"/>
      <c r="F440" s="16"/>
    </row>
    <row r="441" ht="30.0" customHeight="1">
      <c r="A441" s="15"/>
      <c r="F441" s="16"/>
    </row>
    <row r="442" ht="30.0" customHeight="1">
      <c r="A442" s="15"/>
      <c r="F442" s="16"/>
    </row>
    <row r="443" ht="30.0" customHeight="1">
      <c r="A443" s="15"/>
      <c r="F443" s="16"/>
    </row>
    <row r="444" ht="30.0" customHeight="1">
      <c r="A444" s="15"/>
      <c r="F444" s="16"/>
    </row>
    <row r="445" ht="30.0" customHeight="1">
      <c r="A445" s="15"/>
      <c r="F445" s="16"/>
    </row>
    <row r="446" ht="30.0" customHeight="1">
      <c r="A446" s="15"/>
      <c r="F446" s="16"/>
    </row>
    <row r="447" ht="30.0" customHeight="1">
      <c r="A447" s="15"/>
      <c r="F447" s="16"/>
    </row>
    <row r="448" ht="30.0" customHeight="1">
      <c r="A448" s="15"/>
      <c r="F448" s="16"/>
    </row>
    <row r="449" ht="30.0" customHeight="1">
      <c r="A449" s="15"/>
      <c r="F449" s="16"/>
    </row>
    <row r="450" ht="30.0" customHeight="1">
      <c r="A450" s="15"/>
      <c r="F450" s="16"/>
    </row>
    <row r="451" ht="30.0" customHeight="1">
      <c r="A451" s="15"/>
      <c r="F451" s="16"/>
    </row>
    <row r="452" ht="30.0" customHeight="1">
      <c r="A452" s="15"/>
      <c r="F452" s="16"/>
    </row>
    <row r="453" ht="30.0" customHeight="1">
      <c r="A453" s="15"/>
      <c r="F453" s="16"/>
    </row>
    <row r="454" ht="30.0" customHeight="1">
      <c r="A454" s="15"/>
      <c r="F454" s="16"/>
    </row>
    <row r="455" ht="30.0" customHeight="1">
      <c r="A455" s="15"/>
      <c r="F455" s="16"/>
    </row>
    <row r="456" ht="30.0" customHeight="1">
      <c r="A456" s="15"/>
      <c r="F456" s="16"/>
    </row>
    <row r="457" ht="30.0" customHeight="1">
      <c r="A457" s="15"/>
      <c r="F457" s="16"/>
    </row>
    <row r="458" ht="30.0" customHeight="1">
      <c r="A458" s="15"/>
      <c r="F458" s="16"/>
    </row>
    <row r="459" ht="30.0" customHeight="1">
      <c r="A459" s="15"/>
      <c r="F459" s="16"/>
    </row>
    <row r="460" ht="30.0" customHeight="1">
      <c r="A460" s="15"/>
      <c r="F460" s="16"/>
    </row>
    <row r="461" ht="30.0" customHeight="1">
      <c r="A461" s="15"/>
      <c r="F461" s="16"/>
    </row>
    <row r="462" ht="30.0" customHeight="1">
      <c r="A462" s="15"/>
      <c r="F462" s="16"/>
    </row>
    <row r="463" ht="30.0" customHeight="1">
      <c r="A463" s="15"/>
      <c r="F463" s="16"/>
    </row>
    <row r="464" ht="30.0" customHeight="1">
      <c r="A464" s="15"/>
      <c r="F464" s="16"/>
    </row>
    <row r="465" ht="30.0" customHeight="1">
      <c r="A465" s="15"/>
      <c r="F465" s="16"/>
    </row>
    <row r="466" ht="30.0" customHeight="1">
      <c r="A466" s="15"/>
      <c r="F466" s="16"/>
    </row>
    <row r="467" ht="30.0" customHeight="1">
      <c r="A467" s="15"/>
      <c r="F467" s="16"/>
    </row>
    <row r="468" ht="30.0" customHeight="1">
      <c r="A468" s="15"/>
      <c r="F468" s="16"/>
    </row>
    <row r="469" ht="30.0" customHeight="1">
      <c r="A469" s="15"/>
      <c r="F469" s="16"/>
    </row>
    <row r="470" ht="30.0" customHeight="1">
      <c r="A470" s="15"/>
      <c r="F470" s="16"/>
    </row>
    <row r="471" ht="30.0" customHeight="1">
      <c r="A471" s="15"/>
      <c r="F471" s="16"/>
    </row>
    <row r="472" ht="30.0" customHeight="1">
      <c r="A472" s="15"/>
      <c r="F472" s="16"/>
    </row>
    <row r="473" ht="30.0" customHeight="1">
      <c r="A473" s="15"/>
      <c r="F473" s="16"/>
    </row>
    <row r="474" ht="30.0" customHeight="1">
      <c r="A474" s="15"/>
      <c r="F474" s="16"/>
    </row>
    <row r="475" ht="30.0" customHeight="1">
      <c r="A475" s="15"/>
      <c r="F475" s="16"/>
    </row>
    <row r="476" ht="30.0" customHeight="1">
      <c r="A476" s="15"/>
      <c r="F476" s="16"/>
    </row>
    <row r="477" ht="30.0" customHeight="1">
      <c r="A477" s="15"/>
      <c r="F477" s="16"/>
    </row>
    <row r="478" ht="30.0" customHeight="1">
      <c r="A478" s="15"/>
      <c r="F478" s="16"/>
    </row>
    <row r="479" ht="30.0" customHeight="1">
      <c r="A479" s="15"/>
      <c r="F479" s="16"/>
    </row>
    <row r="480" ht="30.0" customHeight="1">
      <c r="A480" s="15"/>
      <c r="F480" s="16"/>
    </row>
    <row r="481" ht="30.0" customHeight="1">
      <c r="A481" s="15"/>
      <c r="F481" s="16"/>
    </row>
    <row r="482" ht="30.0" customHeight="1">
      <c r="A482" s="15"/>
      <c r="F482" s="16"/>
    </row>
    <row r="483" ht="30.0" customHeight="1">
      <c r="A483" s="15"/>
      <c r="F483" s="16"/>
    </row>
    <row r="484" ht="30.0" customHeight="1">
      <c r="A484" s="15"/>
      <c r="F484" s="16"/>
    </row>
    <row r="485" ht="30.0" customHeight="1">
      <c r="A485" s="15"/>
      <c r="F485" s="16"/>
    </row>
    <row r="486" ht="30.0" customHeight="1">
      <c r="A486" s="15"/>
      <c r="F486" s="16"/>
    </row>
    <row r="487" ht="30.0" customHeight="1">
      <c r="A487" s="15"/>
      <c r="F487" s="16"/>
    </row>
    <row r="488" ht="30.0" customHeight="1">
      <c r="A488" s="15"/>
      <c r="F488" s="16"/>
    </row>
    <row r="489" ht="30.0" customHeight="1">
      <c r="A489" s="15"/>
      <c r="F489" s="16"/>
    </row>
    <row r="490" ht="30.0" customHeight="1">
      <c r="A490" s="15"/>
      <c r="F490" s="16"/>
    </row>
    <row r="491" ht="30.0" customHeight="1">
      <c r="A491" s="15"/>
      <c r="F491" s="16"/>
    </row>
    <row r="492" ht="30.0" customHeight="1">
      <c r="A492" s="15"/>
      <c r="F492" s="16"/>
    </row>
    <row r="493" ht="30.0" customHeight="1">
      <c r="A493" s="15"/>
      <c r="F493" s="16"/>
    </row>
    <row r="494" ht="30.0" customHeight="1">
      <c r="A494" s="15"/>
      <c r="F494" s="16"/>
    </row>
    <row r="495" ht="30.0" customHeight="1">
      <c r="A495" s="15"/>
      <c r="F495" s="16"/>
    </row>
    <row r="496" ht="30.0" customHeight="1">
      <c r="A496" s="15"/>
      <c r="F496" s="16"/>
    </row>
    <row r="497" ht="30.0" customHeight="1">
      <c r="A497" s="15"/>
      <c r="F497" s="16"/>
    </row>
    <row r="498" ht="30.0" customHeight="1">
      <c r="A498" s="15"/>
      <c r="F498" s="16"/>
    </row>
    <row r="499" ht="30.0" customHeight="1">
      <c r="A499" s="15"/>
      <c r="F499" s="16"/>
    </row>
    <row r="500" ht="30.0" customHeight="1">
      <c r="A500" s="15"/>
      <c r="F500" s="16"/>
    </row>
    <row r="501" ht="30.0" customHeight="1">
      <c r="A501" s="15"/>
      <c r="F501" s="16"/>
    </row>
    <row r="502" ht="30.0" customHeight="1">
      <c r="A502" s="15"/>
      <c r="F502" s="16"/>
    </row>
    <row r="503" ht="30.0" customHeight="1">
      <c r="A503" s="15"/>
      <c r="F503" s="16"/>
    </row>
    <row r="504" ht="30.0" customHeight="1">
      <c r="A504" s="15"/>
      <c r="F504" s="16"/>
    </row>
    <row r="505" ht="30.0" customHeight="1">
      <c r="A505" s="15"/>
      <c r="F505" s="16"/>
    </row>
    <row r="506" ht="30.0" customHeight="1">
      <c r="A506" s="15"/>
      <c r="F506" s="16"/>
    </row>
    <row r="507" ht="30.0" customHeight="1">
      <c r="A507" s="15"/>
      <c r="F507" s="16"/>
    </row>
    <row r="508" ht="30.0" customHeight="1">
      <c r="A508" s="15"/>
      <c r="F508" s="16"/>
    </row>
    <row r="509" ht="30.0" customHeight="1">
      <c r="A509" s="15"/>
      <c r="F509" s="16"/>
    </row>
    <row r="510" ht="30.0" customHeight="1">
      <c r="A510" s="15"/>
      <c r="F510" s="16"/>
    </row>
    <row r="511" ht="30.0" customHeight="1">
      <c r="A511" s="15"/>
      <c r="F511" s="16"/>
    </row>
    <row r="512" ht="30.0" customHeight="1">
      <c r="A512" s="15"/>
      <c r="F512" s="16"/>
    </row>
    <row r="513" ht="30.0" customHeight="1">
      <c r="A513" s="15"/>
      <c r="F513" s="16"/>
    </row>
    <row r="514" ht="30.0" customHeight="1">
      <c r="A514" s="15"/>
      <c r="F514" s="16"/>
    </row>
    <row r="515" ht="30.0" customHeight="1">
      <c r="A515" s="15"/>
      <c r="F515" s="16"/>
    </row>
    <row r="516" ht="30.0" customHeight="1">
      <c r="A516" s="15"/>
      <c r="F516" s="16"/>
    </row>
    <row r="517" ht="30.0" customHeight="1">
      <c r="A517" s="15"/>
      <c r="F517" s="16"/>
    </row>
    <row r="518" ht="30.0" customHeight="1">
      <c r="A518" s="15"/>
      <c r="F518" s="16"/>
    </row>
    <row r="519" ht="30.0" customHeight="1">
      <c r="A519" s="15"/>
      <c r="F519" s="16"/>
    </row>
    <row r="520" ht="30.0" customHeight="1">
      <c r="A520" s="15"/>
      <c r="F520" s="16"/>
    </row>
    <row r="521" ht="30.0" customHeight="1">
      <c r="A521" s="15"/>
      <c r="F521" s="16"/>
    </row>
    <row r="522" ht="30.0" customHeight="1">
      <c r="A522" s="15"/>
      <c r="F522" s="16"/>
    </row>
    <row r="523" ht="30.0" customHeight="1">
      <c r="A523" s="15"/>
      <c r="F523" s="16"/>
    </row>
    <row r="524" ht="30.0" customHeight="1">
      <c r="A524" s="15"/>
      <c r="F524" s="16"/>
    </row>
    <row r="525" ht="30.0" customHeight="1">
      <c r="A525" s="15"/>
      <c r="F525" s="16"/>
    </row>
    <row r="526" ht="30.0" customHeight="1">
      <c r="A526" s="15"/>
      <c r="F526" s="16"/>
    </row>
    <row r="527" ht="30.0" customHeight="1">
      <c r="A527" s="15"/>
      <c r="F527" s="16"/>
    </row>
    <row r="528" ht="30.0" customHeight="1">
      <c r="A528" s="15"/>
      <c r="F528" s="16"/>
    </row>
    <row r="529" ht="30.0" customHeight="1">
      <c r="A529" s="15"/>
      <c r="F529" s="16"/>
    </row>
    <row r="530" ht="30.0" customHeight="1">
      <c r="A530" s="15"/>
      <c r="F530" s="16"/>
    </row>
    <row r="531" ht="30.0" customHeight="1">
      <c r="A531" s="15"/>
      <c r="F531" s="16"/>
    </row>
    <row r="532" ht="30.0" customHeight="1">
      <c r="A532" s="15"/>
      <c r="F532" s="16"/>
    </row>
    <row r="533" ht="30.0" customHeight="1">
      <c r="A533" s="15"/>
      <c r="F533" s="16"/>
    </row>
    <row r="534" ht="30.0" customHeight="1">
      <c r="A534" s="15"/>
      <c r="F534" s="16"/>
    </row>
    <row r="535" ht="30.0" customHeight="1">
      <c r="A535" s="15"/>
      <c r="F535" s="16"/>
    </row>
    <row r="536" ht="30.0" customHeight="1">
      <c r="A536" s="15"/>
      <c r="F536" s="16"/>
    </row>
    <row r="537" ht="30.0" customHeight="1">
      <c r="A537" s="15"/>
      <c r="F537" s="16"/>
    </row>
    <row r="538" ht="30.0" customHeight="1">
      <c r="A538" s="15"/>
      <c r="F538" s="16"/>
    </row>
    <row r="539" ht="30.0" customHeight="1">
      <c r="A539" s="15"/>
      <c r="F539" s="16"/>
    </row>
    <row r="540" ht="30.0" customHeight="1">
      <c r="A540" s="15"/>
      <c r="F540" s="16"/>
    </row>
    <row r="541" ht="30.0" customHeight="1">
      <c r="A541" s="15"/>
      <c r="F541" s="16"/>
    </row>
    <row r="542" ht="30.0" customHeight="1">
      <c r="A542" s="15"/>
      <c r="F542" s="16"/>
    </row>
    <row r="543" ht="30.0" customHeight="1">
      <c r="A543" s="15"/>
      <c r="F543" s="16"/>
    </row>
    <row r="544" ht="30.0" customHeight="1">
      <c r="A544" s="15"/>
      <c r="F544" s="16"/>
    </row>
    <row r="545" ht="30.0" customHeight="1">
      <c r="A545" s="15"/>
      <c r="F545" s="16"/>
    </row>
    <row r="546" ht="30.0" customHeight="1">
      <c r="A546" s="15"/>
      <c r="F546" s="16"/>
    </row>
    <row r="547" ht="30.0" customHeight="1">
      <c r="A547" s="15"/>
      <c r="F547" s="16"/>
    </row>
    <row r="548" ht="30.0" customHeight="1">
      <c r="A548" s="15"/>
      <c r="F548" s="16"/>
    </row>
    <row r="549" ht="30.0" customHeight="1">
      <c r="A549" s="15"/>
      <c r="F549" s="16"/>
    </row>
    <row r="550" ht="30.0" customHeight="1">
      <c r="A550" s="15"/>
      <c r="F550" s="16"/>
    </row>
    <row r="551" ht="30.0" customHeight="1">
      <c r="A551" s="15"/>
      <c r="F551" s="16"/>
    </row>
    <row r="552" ht="30.0" customHeight="1">
      <c r="A552" s="15"/>
      <c r="F552" s="16"/>
    </row>
    <row r="553" ht="30.0" customHeight="1">
      <c r="A553" s="15"/>
      <c r="F553" s="16"/>
    </row>
    <row r="554" ht="30.0" customHeight="1">
      <c r="A554" s="15"/>
      <c r="F554" s="16"/>
    </row>
    <row r="555" ht="30.0" customHeight="1">
      <c r="A555" s="15"/>
      <c r="F555" s="16"/>
    </row>
    <row r="556" ht="30.0" customHeight="1">
      <c r="A556" s="15"/>
      <c r="F556" s="16"/>
    </row>
    <row r="557" ht="30.0" customHeight="1">
      <c r="A557" s="15"/>
      <c r="F557" s="16"/>
    </row>
    <row r="558" ht="30.0" customHeight="1">
      <c r="A558" s="15"/>
      <c r="F558" s="16"/>
    </row>
    <row r="559" ht="30.0" customHeight="1">
      <c r="A559" s="15"/>
      <c r="F559" s="16"/>
    </row>
    <row r="560" ht="30.0" customHeight="1">
      <c r="A560" s="15"/>
      <c r="F560" s="16"/>
    </row>
    <row r="561" ht="30.0" customHeight="1">
      <c r="A561" s="15"/>
      <c r="F561" s="16"/>
    </row>
    <row r="562" ht="30.0" customHeight="1">
      <c r="A562" s="15"/>
      <c r="F562" s="16"/>
    </row>
    <row r="563" ht="30.0" customHeight="1">
      <c r="A563" s="15"/>
      <c r="F563" s="16"/>
    </row>
    <row r="564" ht="30.0" customHeight="1">
      <c r="A564" s="15"/>
      <c r="F564" s="16"/>
    </row>
    <row r="565" ht="30.0" customHeight="1">
      <c r="A565" s="15"/>
      <c r="F565" s="16"/>
    </row>
    <row r="566" ht="30.0" customHeight="1">
      <c r="A566" s="15"/>
      <c r="F566" s="16"/>
    </row>
    <row r="567" ht="30.0" customHeight="1">
      <c r="A567" s="15"/>
      <c r="F567" s="16"/>
    </row>
    <row r="568" ht="30.0" customHeight="1">
      <c r="A568" s="15"/>
      <c r="F568" s="16"/>
    </row>
    <row r="569" ht="30.0" customHeight="1">
      <c r="A569" s="15"/>
      <c r="F569" s="16"/>
    </row>
    <row r="570" ht="30.0" customHeight="1">
      <c r="A570" s="15"/>
      <c r="F570" s="16"/>
    </row>
    <row r="571" ht="30.0" customHeight="1">
      <c r="A571" s="15"/>
      <c r="F571" s="16"/>
    </row>
    <row r="572" ht="30.0" customHeight="1">
      <c r="A572" s="15"/>
      <c r="F572" s="16"/>
    </row>
    <row r="573" ht="30.0" customHeight="1">
      <c r="A573" s="15"/>
      <c r="F573" s="16"/>
    </row>
    <row r="574" ht="30.0" customHeight="1">
      <c r="A574" s="15"/>
      <c r="F574" s="16"/>
    </row>
    <row r="575" ht="30.0" customHeight="1">
      <c r="A575" s="15"/>
      <c r="F575" s="16"/>
    </row>
    <row r="576" ht="30.0" customHeight="1">
      <c r="A576" s="15"/>
      <c r="F576" s="16"/>
    </row>
    <row r="577" ht="30.0" customHeight="1">
      <c r="A577" s="15"/>
      <c r="F577" s="16"/>
    </row>
    <row r="578" ht="30.0" customHeight="1">
      <c r="A578" s="15"/>
      <c r="F578" s="16"/>
    </row>
    <row r="579" ht="30.0" customHeight="1">
      <c r="A579" s="15"/>
      <c r="F579" s="16"/>
    </row>
    <row r="580" ht="30.0" customHeight="1">
      <c r="A580" s="15"/>
      <c r="F580" s="16"/>
    </row>
    <row r="581" ht="30.0" customHeight="1">
      <c r="A581" s="15"/>
      <c r="F581" s="16"/>
    </row>
    <row r="582" ht="30.0" customHeight="1">
      <c r="A582" s="15"/>
      <c r="F582" s="16"/>
    </row>
    <row r="583" ht="30.0" customHeight="1">
      <c r="A583" s="15"/>
      <c r="F583" s="16"/>
    </row>
    <row r="584" ht="30.0" customHeight="1">
      <c r="A584" s="15"/>
      <c r="F584" s="16"/>
    </row>
    <row r="585" ht="30.0" customHeight="1">
      <c r="A585" s="15"/>
      <c r="F585" s="16"/>
    </row>
    <row r="586" ht="30.0" customHeight="1">
      <c r="A586" s="15"/>
      <c r="F586" s="16"/>
    </row>
    <row r="587" ht="30.0" customHeight="1">
      <c r="A587" s="15"/>
      <c r="F587" s="16"/>
    </row>
    <row r="588" ht="30.0" customHeight="1">
      <c r="A588" s="15"/>
      <c r="F588" s="16"/>
    </row>
    <row r="589" ht="30.0" customHeight="1">
      <c r="A589" s="15"/>
      <c r="F589" s="16"/>
    </row>
    <row r="590" ht="30.0" customHeight="1">
      <c r="A590" s="15"/>
      <c r="F590" s="16"/>
    </row>
    <row r="591" ht="30.0" customHeight="1">
      <c r="A591" s="15"/>
      <c r="F591" s="16"/>
    </row>
    <row r="592" ht="30.0" customHeight="1">
      <c r="A592" s="15"/>
      <c r="F592" s="16"/>
    </row>
    <row r="593" ht="30.0" customHeight="1">
      <c r="A593" s="15"/>
      <c r="F593" s="16"/>
    </row>
    <row r="594" ht="30.0" customHeight="1">
      <c r="A594" s="15"/>
      <c r="F594" s="16"/>
    </row>
    <row r="595" ht="30.0" customHeight="1">
      <c r="A595" s="15"/>
      <c r="F595" s="16"/>
    </row>
    <row r="596" ht="30.0" customHeight="1">
      <c r="A596" s="15"/>
      <c r="F596" s="16"/>
    </row>
    <row r="597" ht="30.0" customHeight="1">
      <c r="A597" s="15"/>
      <c r="F597" s="16"/>
    </row>
    <row r="598" ht="30.0" customHeight="1">
      <c r="A598" s="15"/>
      <c r="F598" s="16"/>
    </row>
    <row r="599" ht="30.0" customHeight="1">
      <c r="A599" s="15"/>
      <c r="F599" s="16"/>
    </row>
    <row r="600" ht="30.0" customHeight="1">
      <c r="A600" s="15"/>
      <c r="F600" s="16"/>
    </row>
    <row r="601" ht="30.0" customHeight="1">
      <c r="A601" s="15"/>
      <c r="F601" s="16"/>
    </row>
    <row r="602" ht="30.0" customHeight="1">
      <c r="A602" s="15"/>
      <c r="F602" s="16"/>
    </row>
    <row r="603" ht="30.0" customHeight="1">
      <c r="A603" s="15"/>
      <c r="F603" s="16"/>
    </row>
    <row r="604" ht="30.0" customHeight="1">
      <c r="A604" s="15"/>
      <c r="F604" s="16"/>
    </row>
    <row r="605" ht="30.0" customHeight="1">
      <c r="A605" s="15"/>
      <c r="F605" s="16"/>
    </row>
    <row r="606" ht="30.0" customHeight="1">
      <c r="A606" s="15"/>
      <c r="F606" s="16"/>
    </row>
    <row r="607" ht="30.0" customHeight="1">
      <c r="A607" s="15"/>
      <c r="F607" s="16"/>
    </row>
    <row r="608" ht="30.0" customHeight="1">
      <c r="A608" s="15"/>
      <c r="F608" s="16"/>
    </row>
    <row r="609" ht="30.0" customHeight="1">
      <c r="A609" s="15"/>
      <c r="F609" s="16"/>
    </row>
    <row r="610" ht="30.0" customHeight="1">
      <c r="A610" s="15"/>
      <c r="F610" s="16"/>
    </row>
    <row r="611" ht="30.0" customHeight="1">
      <c r="A611" s="15"/>
      <c r="F611" s="16"/>
    </row>
    <row r="612" ht="30.0" customHeight="1">
      <c r="A612" s="15"/>
      <c r="F612" s="16"/>
    </row>
    <row r="613" ht="30.0" customHeight="1">
      <c r="A613" s="15"/>
      <c r="F613" s="16"/>
    </row>
    <row r="614" ht="30.0" customHeight="1">
      <c r="A614" s="15"/>
      <c r="F614" s="16"/>
    </row>
    <row r="615" ht="30.0" customHeight="1">
      <c r="A615" s="15"/>
      <c r="F615" s="16"/>
    </row>
    <row r="616" ht="30.0" customHeight="1">
      <c r="A616" s="15"/>
      <c r="F616" s="16"/>
    </row>
    <row r="617" ht="30.0" customHeight="1">
      <c r="A617" s="15"/>
      <c r="F617" s="16"/>
    </row>
    <row r="618" ht="30.0" customHeight="1">
      <c r="A618" s="15"/>
      <c r="F618" s="16"/>
    </row>
    <row r="619" ht="30.0" customHeight="1">
      <c r="A619" s="15"/>
      <c r="F619" s="16"/>
    </row>
    <row r="620" ht="30.0" customHeight="1">
      <c r="A620" s="15"/>
      <c r="F620" s="16"/>
    </row>
    <row r="621" ht="30.0" customHeight="1">
      <c r="A621" s="15"/>
      <c r="F621" s="16"/>
    </row>
    <row r="622" ht="30.0" customHeight="1">
      <c r="A622" s="15"/>
      <c r="F622" s="16"/>
    </row>
    <row r="623" ht="30.0" customHeight="1">
      <c r="A623" s="15"/>
      <c r="F623" s="16"/>
    </row>
    <row r="624" ht="30.0" customHeight="1">
      <c r="A624" s="15"/>
      <c r="F624" s="16"/>
    </row>
    <row r="625" ht="30.0" customHeight="1">
      <c r="A625" s="15"/>
      <c r="F625" s="16"/>
    </row>
    <row r="626" ht="30.0" customHeight="1">
      <c r="A626" s="15"/>
      <c r="F626" s="16"/>
    </row>
    <row r="627" ht="30.0" customHeight="1">
      <c r="A627" s="15"/>
      <c r="F627" s="16"/>
    </row>
    <row r="628" ht="30.0" customHeight="1">
      <c r="A628" s="15"/>
      <c r="F628" s="16"/>
    </row>
    <row r="629" ht="30.0" customHeight="1">
      <c r="A629" s="15"/>
      <c r="F629" s="16"/>
    </row>
    <row r="630" ht="30.0" customHeight="1">
      <c r="A630" s="15"/>
      <c r="F630" s="16"/>
    </row>
    <row r="631" ht="30.0" customHeight="1">
      <c r="A631" s="15"/>
      <c r="F631" s="16"/>
    </row>
    <row r="632" ht="30.0" customHeight="1">
      <c r="A632" s="15"/>
      <c r="F632" s="16"/>
    </row>
    <row r="633" ht="30.0" customHeight="1">
      <c r="A633" s="15"/>
      <c r="F633" s="16"/>
    </row>
    <row r="634" ht="30.0" customHeight="1">
      <c r="A634" s="15"/>
      <c r="F634" s="16"/>
    </row>
    <row r="635" ht="30.0" customHeight="1">
      <c r="A635" s="15"/>
      <c r="F635" s="16"/>
    </row>
    <row r="636" ht="30.0" customHeight="1">
      <c r="A636" s="15"/>
      <c r="F636" s="16"/>
    </row>
    <row r="637" ht="30.0" customHeight="1">
      <c r="A637" s="15"/>
      <c r="F637" s="16"/>
    </row>
    <row r="638" ht="30.0" customHeight="1">
      <c r="A638" s="15"/>
      <c r="F638" s="16"/>
    </row>
    <row r="639" ht="30.0" customHeight="1">
      <c r="A639" s="15"/>
      <c r="F639" s="16"/>
    </row>
    <row r="640" ht="30.0" customHeight="1">
      <c r="A640" s="15"/>
      <c r="F640" s="16"/>
    </row>
    <row r="641" ht="30.0" customHeight="1">
      <c r="A641" s="15"/>
      <c r="F641" s="16"/>
    </row>
    <row r="642" ht="30.0" customHeight="1">
      <c r="A642" s="15"/>
      <c r="F642" s="16"/>
    </row>
    <row r="643" ht="30.0" customHeight="1">
      <c r="A643" s="15"/>
      <c r="F643" s="16"/>
    </row>
    <row r="644" ht="30.0" customHeight="1">
      <c r="A644" s="15"/>
      <c r="F644" s="16"/>
    </row>
    <row r="645" ht="30.0" customHeight="1">
      <c r="A645" s="15"/>
      <c r="F645" s="16"/>
    </row>
    <row r="646" ht="30.0" customHeight="1">
      <c r="A646" s="15"/>
      <c r="F646" s="16"/>
    </row>
    <row r="647" ht="30.0" customHeight="1">
      <c r="A647" s="15"/>
      <c r="F647" s="16"/>
    </row>
    <row r="648" ht="30.0" customHeight="1">
      <c r="A648" s="15"/>
      <c r="F648" s="16"/>
    </row>
    <row r="649" ht="30.0" customHeight="1">
      <c r="A649" s="15"/>
      <c r="F649" s="16"/>
    </row>
    <row r="650" ht="30.0" customHeight="1">
      <c r="A650" s="15"/>
      <c r="F650" s="16"/>
    </row>
    <row r="651" ht="30.0" customHeight="1">
      <c r="A651" s="15"/>
      <c r="F651" s="16"/>
    </row>
    <row r="652" ht="30.0" customHeight="1">
      <c r="A652" s="15"/>
      <c r="F652" s="16"/>
    </row>
    <row r="653" ht="30.0" customHeight="1">
      <c r="A653" s="15"/>
      <c r="F653" s="16"/>
    </row>
    <row r="654" ht="30.0" customHeight="1">
      <c r="A654" s="15"/>
      <c r="F654" s="16"/>
    </row>
    <row r="655" ht="30.0" customHeight="1">
      <c r="A655" s="15"/>
      <c r="F655" s="16"/>
    </row>
    <row r="656" ht="30.0" customHeight="1">
      <c r="A656" s="15"/>
      <c r="F656" s="16"/>
    </row>
    <row r="657" ht="30.0" customHeight="1">
      <c r="A657" s="15"/>
      <c r="F657" s="16"/>
    </row>
    <row r="658" ht="30.0" customHeight="1">
      <c r="A658" s="15"/>
      <c r="F658" s="16"/>
    </row>
    <row r="659" ht="30.0" customHeight="1">
      <c r="A659" s="15"/>
      <c r="F659" s="16"/>
    </row>
    <row r="660" ht="30.0" customHeight="1">
      <c r="A660" s="15"/>
      <c r="F660" s="16"/>
    </row>
    <row r="661" ht="30.0" customHeight="1">
      <c r="A661" s="15"/>
      <c r="F661" s="16"/>
    </row>
    <row r="662" ht="30.0" customHeight="1">
      <c r="A662" s="15"/>
      <c r="F662" s="16"/>
    </row>
    <row r="663" ht="30.0" customHeight="1">
      <c r="A663" s="15"/>
      <c r="F663" s="16"/>
    </row>
    <row r="664" ht="30.0" customHeight="1">
      <c r="A664" s="15"/>
      <c r="F664" s="16"/>
    </row>
    <row r="665" ht="30.0" customHeight="1">
      <c r="A665" s="15"/>
      <c r="F665" s="16"/>
    </row>
    <row r="666" ht="30.0" customHeight="1">
      <c r="A666" s="15"/>
      <c r="F666" s="16"/>
    </row>
    <row r="667" ht="30.0" customHeight="1">
      <c r="A667" s="15"/>
      <c r="F667" s="16"/>
    </row>
    <row r="668" ht="30.0" customHeight="1">
      <c r="A668" s="15"/>
      <c r="F668" s="16"/>
    </row>
    <row r="669" ht="30.0" customHeight="1">
      <c r="A669" s="15"/>
      <c r="F669" s="16"/>
    </row>
    <row r="670" ht="30.0" customHeight="1">
      <c r="A670" s="15"/>
      <c r="F670" s="16"/>
    </row>
    <row r="671" ht="30.0" customHeight="1">
      <c r="A671" s="15"/>
      <c r="F671" s="16"/>
    </row>
    <row r="672" ht="30.0" customHeight="1">
      <c r="A672" s="15"/>
      <c r="F672" s="16"/>
    </row>
    <row r="673" ht="30.0" customHeight="1">
      <c r="A673" s="15"/>
      <c r="F673" s="16"/>
    </row>
    <row r="674" ht="30.0" customHeight="1">
      <c r="A674" s="15"/>
      <c r="F674" s="16"/>
    </row>
    <row r="675" ht="30.0" customHeight="1">
      <c r="A675" s="15"/>
      <c r="F675" s="16"/>
    </row>
    <row r="676" ht="30.0" customHeight="1">
      <c r="A676" s="15"/>
      <c r="F676" s="16"/>
    </row>
    <row r="677" ht="30.0" customHeight="1">
      <c r="A677" s="15"/>
      <c r="F677" s="16"/>
    </row>
    <row r="678" ht="30.0" customHeight="1">
      <c r="A678" s="15"/>
      <c r="F678" s="16"/>
    </row>
    <row r="679" ht="30.0" customHeight="1">
      <c r="A679" s="15"/>
      <c r="F679" s="16"/>
    </row>
    <row r="680" ht="30.0" customHeight="1">
      <c r="A680" s="15"/>
      <c r="F680" s="16"/>
    </row>
    <row r="681" ht="30.0" customHeight="1">
      <c r="A681" s="15"/>
      <c r="F681" s="16"/>
    </row>
    <row r="682" ht="30.0" customHeight="1">
      <c r="A682" s="15"/>
      <c r="F682" s="16"/>
    </row>
    <row r="683" ht="30.0" customHeight="1">
      <c r="A683" s="15"/>
      <c r="F683" s="16"/>
    </row>
    <row r="684" ht="30.0" customHeight="1">
      <c r="A684" s="15"/>
      <c r="F684" s="16"/>
    </row>
    <row r="685" ht="30.0" customHeight="1">
      <c r="A685" s="15"/>
      <c r="F685" s="16"/>
    </row>
    <row r="686" ht="30.0" customHeight="1">
      <c r="A686" s="15"/>
      <c r="F686" s="16"/>
    </row>
    <row r="687" ht="30.0" customHeight="1">
      <c r="A687" s="15"/>
      <c r="F687" s="16"/>
    </row>
    <row r="688" ht="30.0" customHeight="1">
      <c r="A688" s="15"/>
      <c r="F688" s="16"/>
    </row>
    <row r="689" ht="30.0" customHeight="1">
      <c r="A689" s="15"/>
      <c r="F689" s="16"/>
    </row>
    <row r="690" ht="30.0" customHeight="1">
      <c r="A690" s="15"/>
      <c r="F690" s="16"/>
    </row>
    <row r="691" ht="30.0" customHeight="1">
      <c r="A691" s="15"/>
      <c r="F691" s="16"/>
    </row>
    <row r="692" ht="30.0" customHeight="1">
      <c r="A692" s="15"/>
      <c r="F692" s="16"/>
    </row>
    <row r="693" ht="30.0" customHeight="1">
      <c r="A693" s="15"/>
      <c r="F693" s="16"/>
    </row>
    <row r="694" ht="30.0" customHeight="1">
      <c r="A694" s="15"/>
      <c r="F694" s="16"/>
    </row>
    <row r="695" ht="30.0" customHeight="1">
      <c r="A695" s="15"/>
      <c r="F695" s="16"/>
    </row>
    <row r="696" ht="30.0" customHeight="1">
      <c r="A696" s="15"/>
      <c r="F696" s="16"/>
    </row>
    <row r="697" ht="30.0" customHeight="1">
      <c r="A697" s="15"/>
      <c r="F697" s="16"/>
    </row>
    <row r="698" ht="30.0" customHeight="1">
      <c r="A698" s="15"/>
      <c r="F698" s="16"/>
    </row>
    <row r="699" ht="30.0" customHeight="1">
      <c r="A699" s="15"/>
      <c r="F699" s="16"/>
    </row>
    <row r="700" ht="30.0" customHeight="1">
      <c r="A700" s="15"/>
      <c r="F700" s="16"/>
    </row>
    <row r="701" ht="30.0" customHeight="1">
      <c r="A701" s="15"/>
      <c r="F701" s="16"/>
    </row>
    <row r="702" ht="30.0" customHeight="1">
      <c r="A702" s="15"/>
      <c r="F702" s="16"/>
    </row>
    <row r="703" ht="30.0" customHeight="1">
      <c r="A703" s="15"/>
      <c r="F703" s="16"/>
    </row>
    <row r="704" ht="30.0" customHeight="1">
      <c r="A704" s="15"/>
      <c r="F704" s="16"/>
    </row>
    <row r="705" ht="30.0" customHeight="1">
      <c r="A705" s="15"/>
      <c r="F705" s="16"/>
    </row>
    <row r="706" ht="30.0" customHeight="1">
      <c r="A706" s="15"/>
      <c r="F706" s="16"/>
    </row>
    <row r="707" ht="30.0" customHeight="1">
      <c r="A707" s="15"/>
      <c r="F707" s="16"/>
    </row>
    <row r="708" ht="30.0" customHeight="1">
      <c r="A708" s="15"/>
      <c r="F708" s="16"/>
    </row>
    <row r="709" ht="30.0" customHeight="1">
      <c r="A709" s="15"/>
      <c r="F709" s="16"/>
    </row>
    <row r="710" ht="30.0" customHeight="1">
      <c r="A710" s="15"/>
      <c r="F710" s="16"/>
    </row>
    <row r="711" ht="30.0" customHeight="1">
      <c r="A711" s="15"/>
      <c r="F711" s="16"/>
    </row>
    <row r="712" ht="30.0" customHeight="1">
      <c r="A712" s="15"/>
      <c r="F712" s="16"/>
    </row>
    <row r="713" ht="30.0" customHeight="1">
      <c r="A713" s="15"/>
      <c r="F713" s="16"/>
    </row>
    <row r="714" ht="30.0" customHeight="1">
      <c r="A714" s="15"/>
      <c r="F714" s="16"/>
    </row>
    <row r="715" ht="30.0" customHeight="1">
      <c r="A715" s="15"/>
      <c r="F715" s="16"/>
    </row>
    <row r="716" ht="30.0" customHeight="1">
      <c r="A716" s="15"/>
      <c r="F716" s="16"/>
    </row>
    <row r="717" ht="30.0" customHeight="1">
      <c r="A717" s="15"/>
      <c r="F717" s="16"/>
    </row>
    <row r="718" ht="30.0" customHeight="1">
      <c r="A718" s="15"/>
      <c r="F718" s="16"/>
    </row>
    <row r="719" ht="30.0" customHeight="1">
      <c r="A719" s="15"/>
      <c r="F719" s="16"/>
    </row>
    <row r="720" ht="30.0" customHeight="1">
      <c r="A720" s="15"/>
      <c r="F720" s="16"/>
    </row>
    <row r="721" ht="30.0" customHeight="1">
      <c r="A721" s="15"/>
      <c r="F721" s="16"/>
    </row>
    <row r="722" ht="30.0" customHeight="1">
      <c r="A722" s="15"/>
      <c r="F722" s="16"/>
    </row>
    <row r="723" ht="30.0" customHeight="1">
      <c r="A723" s="15"/>
      <c r="F723" s="16"/>
    </row>
    <row r="724" ht="30.0" customHeight="1">
      <c r="A724" s="15"/>
      <c r="F724" s="16"/>
    </row>
    <row r="725" ht="30.0" customHeight="1">
      <c r="A725" s="15"/>
      <c r="F725" s="16"/>
    </row>
    <row r="726" ht="30.0" customHeight="1">
      <c r="A726" s="15"/>
      <c r="F726" s="16"/>
    </row>
    <row r="727" ht="30.0" customHeight="1">
      <c r="A727" s="15"/>
      <c r="F727" s="16"/>
    </row>
    <row r="728" ht="30.0" customHeight="1">
      <c r="A728" s="15"/>
      <c r="F728" s="16"/>
    </row>
    <row r="729" ht="30.0" customHeight="1">
      <c r="A729" s="15"/>
      <c r="F729" s="16"/>
    </row>
    <row r="730" ht="30.0" customHeight="1">
      <c r="A730" s="15"/>
      <c r="F730" s="16"/>
    </row>
    <row r="731" ht="30.0" customHeight="1">
      <c r="A731" s="15"/>
      <c r="F731" s="16"/>
    </row>
    <row r="732" ht="30.0" customHeight="1">
      <c r="A732" s="15"/>
      <c r="F732" s="16"/>
    </row>
    <row r="733" ht="30.0" customHeight="1">
      <c r="A733" s="15"/>
      <c r="F733" s="16"/>
    </row>
    <row r="734" ht="30.0" customHeight="1">
      <c r="A734" s="15"/>
      <c r="F734" s="16"/>
    </row>
    <row r="735" ht="30.0" customHeight="1">
      <c r="A735" s="15"/>
      <c r="F735" s="16"/>
    </row>
    <row r="736" ht="30.0" customHeight="1">
      <c r="A736" s="15"/>
      <c r="F736" s="16"/>
    </row>
    <row r="737" ht="30.0" customHeight="1">
      <c r="A737" s="15"/>
      <c r="F737" s="16"/>
    </row>
    <row r="738" ht="30.0" customHeight="1">
      <c r="A738" s="15"/>
      <c r="F738" s="16"/>
    </row>
    <row r="739" ht="30.0" customHeight="1">
      <c r="A739" s="15"/>
      <c r="F739" s="16"/>
    </row>
    <row r="740" ht="30.0" customHeight="1">
      <c r="A740" s="15"/>
      <c r="F740" s="16"/>
    </row>
    <row r="741" ht="30.0" customHeight="1">
      <c r="A741" s="15"/>
      <c r="F741" s="16"/>
    </row>
    <row r="742" ht="30.0" customHeight="1">
      <c r="A742" s="15"/>
      <c r="F742" s="16"/>
    </row>
    <row r="743" ht="30.0" customHeight="1">
      <c r="A743" s="15"/>
      <c r="F743" s="16"/>
    </row>
    <row r="744" ht="30.0" customHeight="1">
      <c r="A744" s="15"/>
      <c r="F744" s="16"/>
    </row>
    <row r="745" ht="30.0" customHeight="1">
      <c r="A745" s="15"/>
      <c r="F745" s="16"/>
    </row>
    <row r="746" ht="30.0" customHeight="1">
      <c r="A746" s="15"/>
      <c r="F746" s="16"/>
    </row>
    <row r="747" ht="30.0" customHeight="1">
      <c r="A747" s="15"/>
      <c r="F747" s="16"/>
    </row>
    <row r="748" ht="30.0" customHeight="1">
      <c r="A748" s="15"/>
      <c r="F748" s="16"/>
    </row>
    <row r="749" ht="30.0" customHeight="1">
      <c r="A749" s="15"/>
      <c r="F749" s="16"/>
    </row>
    <row r="750" ht="30.0" customHeight="1">
      <c r="A750" s="15"/>
      <c r="F750" s="16"/>
    </row>
    <row r="751" ht="30.0" customHeight="1">
      <c r="A751" s="15"/>
      <c r="F751" s="16"/>
    </row>
    <row r="752" ht="30.0" customHeight="1">
      <c r="A752" s="15"/>
      <c r="F752" s="16"/>
    </row>
    <row r="753" ht="30.0" customHeight="1">
      <c r="A753" s="15"/>
      <c r="F753" s="16"/>
    </row>
    <row r="754" ht="30.0" customHeight="1">
      <c r="A754" s="15"/>
      <c r="F754" s="16"/>
    </row>
    <row r="755" ht="30.0" customHeight="1">
      <c r="A755" s="15"/>
      <c r="F755" s="16"/>
    </row>
    <row r="756" ht="30.0" customHeight="1">
      <c r="A756" s="15"/>
      <c r="F756" s="16"/>
    </row>
    <row r="757" ht="30.0" customHeight="1">
      <c r="A757" s="15"/>
      <c r="F757" s="16"/>
    </row>
    <row r="758" ht="30.0" customHeight="1">
      <c r="A758" s="15"/>
      <c r="F758" s="16"/>
    </row>
    <row r="759" ht="30.0" customHeight="1">
      <c r="A759" s="15"/>
      <c r="F759" s="16"/>
    </row>
    <row r="760" ht="30.0" customHeight="1">
      <c r="A760" s="15"/>
      <c r="F760" s="16"/>
    </row>
    <row r="761" ht="30.0" customHeight="1">
      <c r="A761" s="15"/>
      <c r="F761" s="16"/>
    </row>
    <row r="762" ht="30.0" customHeight="1">
      <c r="A762" s="15"/>
      <c r="F762" s="16"/>
    </row>
    <row r="763" ht="30.0" customHeight="1">
      <c r="A763" s="15"/>
      <c r="F763" s="16"/>
    </row>
    <row r="764" ht="30.0" customHeight="1">
      <c r="A764" s="15"/>
      <c r="F764" s="16"/>
    </row>
    <row r="765" ht="30.0" customHeight="1">
      <c r="A765" s="15"/>
      <c r="F765" s="16"/>
    </row>
    <row r="766" ht="30.0" customHeight="1">
      <c r="A766" s="15"/>
      <c r="F766" s="16"/>
    </row>
    <row r="767" ht="30.0" customHeight="1">
      <c r="A767" s="15"/>
      <c r="F767" s="16"/>
    </row>
    <row r="768" ht="30.0" customHeight="1">
      <c r="A768" s="15"/>
      <c r="F768" s="16"/>
    </row>
    <row r="769" ht="30.0" customHeight="1">
      <c r="A769" s="15"/>
      <c r="F769" s="16"/>
    </row>
    <row r="770" ht="30.0" customHeight="1">
      <c r="A770" s="15"/>
      <c r="F770" s="16"/>
    </row>
    <row r="771" ht="30.0" customHeight="1">
      <c r="A771" s="15"/>
      <c r="F771" s="16"/>
    </row>
    <row r="772" ht="30.0" customHeight="1">
      <c r="A772" s="15"/>
      <c r="F772" s="16"/>
    </row>
    <row r="773" ht="30.0" customHeight="1">
      <c r="A773" s="15"/>
      <c r="F773" s="16"/>
    </row>
    <row r="774" ht="30.0" customHeight="1">
      <c r="A774" s="15"/>
      <c r="F774" s="16"/>
    </row>
    <row r="775" ht="30.0" customHeight="1">
      <c r="A775" s="15"/>
      <c r="F775" s="16"/>
    </row>
    <row r="776" ht="30.0" customHeight="1">
      <c r="A776" s="15"/>
      <c r="F776" s="16"/>
    </row>
    <row r="777" ht="30.0" customHeight="1">
      <c r="A777" s="15"/>
      <c r="F777" s="16"/>
    </row>
    <row r="778" ht="30.0" customHeight="1">
      <c r="A778" s="15"/>
      <c r="F778" s="16"/>
    </row>
    <row r="779" ht="30.0" customHeight="1">
      <c r="A779" s="15"/>
      <c r="F779" s="16"/>
    </row>
    <row r="780" ht="30.0" customHeight="1">
      <c r="A780" s="15"/>
      <c r="F780" s="16"/>
    </row>
    <row r="781" ht="30.0" customHeight="1">
      <c r="A781" s="15"/>
      <c r="F781" s="16"/>
    </row>
    <row r="782" ht="30.0" customHeight="1">
      <c r="A782" s="15"/>
      <c r="F782" s="16"/>
    </row>
    <row r="783" ht="30.0" customHeight="1">
      <c r="A783" s="15"/>
      <c r="F783" s="16"/>
    </row>
    <row r="784" ht="30.0" customHeight="1">
      <c r="A784" s="15"/>
      <c r="F784" s="16"/>
    </row>
    <row r="785" ht="30.0" customHeight="1">
      <c r="A785" s="15"/>
      <c r="F785" s="16"/>
    </row>
    <row r="786" ht="30.0" customHeight="1">
      <c r="A786" s="15"/>
      <c r="F786" s="16"/>
    </row>
    <row r="787" ht="30.0" customHeight="1">
      <c r="A787" s="15"/>
      <c r="F787" s="16"/>
    </row>
    <row r="788" ht="30.0" customHeight="1">
      <c r="A788" s="15"/>
      <c r="F788" s="16"/>
    </row>
    <row r="789" ht="30.0" customHeight="1">
      <c r="A789" s="15"/>
      <c r="F789" s="16"/>
    </row>
    <row r="790" ht="30.0" customHeight="1">
      <c r="A790" s="15"/>
      <c r="F790" s="16"/>
    </row>
    <row r="791" ht="30.0" customHeight="1">
      <c r="A791" s="15"/>
      <c r="F791" s="16"/>
    </row>
    <row r="792" ht="30.0" customHeight="1">
      <c r="A792" s="15"/>
      <c r="F792" s="16"/>
    </row>
    <row r="793" ht="30.0" customHeight="1">
      <c r="A793" s="15"/>
      <c r="F793" s="16"/>
    </row>
    <row r="794" ht="30.0" customHeight="1">
      <c r="A794" s="15"/>
      <c r="F794" s="16"/>
    </row>
    <row r="795" ht="30.0" customHeight="1">
      <c r="A795" s="15"/>
      <c r="F795" s="16"/>
    </row>
    <row r="796" ht="30.0" customHeight="1">
      <c r="A796" s="15"/>
      <c r="F796" s="16"/>
    </row>
    <row r="797" ht="30.0" customHeight="1">
      <c r="A797" s="15"/>
      <c r="F797" s="16"/>
    </row>
    <row r="798" ht="30.0" customHeight="1">
      <c r="A798" s="15"/>
      <c r="F798" s="16"/>
    </row>
    <row r="799" ht="30.0" customHeight="1">
      <c r="A799" s="15"/>
      <c r="F799" s="16"/>
    </row>
    <row r="800" ht="30.0" customHeight="1">
      <c r="A800" s="15"/>
      <c r="F800" s="16"/>
    </row>
    <row r="801" ht="30.0" customHeight="1">
      <c r="A801" s="15"/>
      <c r="F801" s="16"/>
    </row>
    <row r="802" ht="30.0" customHeight="1">
      <c r="A802" s="15"/>
      <c r="F802" s="16"/>
    </row>
    <row r="803" ht="30.0" customHeight="1">
      <c r="A803" s="15"/>
      <c r="F803" s="16"/>
    </row>
    <row r="804" ht="30.0" customHeight="1">
      <c r="A804" s="15"/>
      <c r="F804" s="16"/>
    </row>
    <row r="805" ht="30.0" customHeight="1">
      <c r="A805" s="15"/>
      <c r="F805" s="16"/>
    </row>
    <row r="806" ht="30.0" customHeight="1">
      <c r="A806" s="15"/>
      <c r="F806" s="16"/>
    </row>
    <row r="807" ht="30.0" customHeight="1">
      <c r="A807" s="15"/>
      <c r="F807" s="16"/>
    </row>
    <row r="808" ht="30.0" customHeight="1">
      <c r="A808" s="15"/>
      <c r="F808" s="16"/>
    </row>
    <row r="809" ht="30.0" customHeight="1">
      <c r="A809" s="15"/>
      <c r="F809" s="16"/>
    </row>
    <row r="810" ht="30.0" customHeight="1">
      <c r="A810" s="15"/>
      <c r="F810" s="16"/>
    </row>
    <row r="811" ht="30.0" customHeight="1">
      <c r="A811" s="15"/>
      <c r="F811" s="16"/>
    </row>
    <row r="812" ht="30.0" customHeight="1">
      <c r="A812" s="15"/>
      <c r="F812" s="16"/>
    </row>
    <row r="813" ht="30.0" customHeight="1">
      <c r="A813" s="15"/>
      <c r="F813" s="16"/>
    </row>
    <row r="814" ht="30.0" customHeight="1">
      <c r="A814" s="15"/>
      <c r="F814" s="16"/>
    </row>
    <row r="815" ht="30.0" customHeight="1">
      <c r="A815" s="15"/>
      <c r="F815" s="16"/>
    </row>
    <row r="816" ht="30.0" customHeight="1">
      <c r="A816" s="15"/>
      <c r="F816" s="16"/>
    </row>
    <row r="817" ht="30.0" customHeight="1">
      <c r="A817" s="15"/>
      <c r="F817" s="16"/>
    </row>
    <row r="818" ht="30.0" customHeight="1">
      <c r="A818" s="15"/>
      <c r="F818" s="16"/>
    </row>
    <row r="819" ht="30.0" customHeight="1">
      <c r="A819" s="15"/>
      <c r="F819" s="16"/>
    </row>
    <row r="820" ht="30.0" customHeight="1">
      <c r="A820" s="15"/>
      <c r="F820" s="16"/>
    </row>
    <row r="821" ht="30.0" customHeight="1">
      <c r="A821" s="15"/>
      <c r="F821" s="16"/>
    </row>
    <row r="822" ht="30.0" customHeight="1">
      <c r="A822" s="15"/>
      <c r="F822" s="16"/>
    </row>
    <row r="823" ht="30.0" customHeight="1">
      <c r="A823" s="15"/>
      <c r="F823" s="16"/>
    </row>
    <row r="824" ht="30.0" customHeight="1">
      <c r="A824" s="15"/>
      <c r="F824" s="16"/>
    </row>
    <row r="825" ht="30.0" customHeight="1">
      <c r="A825" s="15"/>
      <c r="F825" s="16"/>
    </row>
    <row r="826" ht="30.0" customHeight="1">
      <c r="A826" s="15"/>
      <c r="F826" s="16"/>
    </row>
    <row r="827" ht="30.0" customHeight="1">
      <c r="A827" s="15"/>
      <c r="F827" s="16"/>
    </row>
    <row r="828" ht="30.0" customHeight="1">
      <c r="A828" s="15"/>
      <c r="F828" s="16"/>
    </row>
    <row r="829" ht="30.0" customHeight="1">
      <c r="A829" s="15"/>
      <c r="F829" s="16"/>
    </row>
    <row r="830" ht="30.0" customHeight="1">
      <c r="A830" s="15"/>
      <c r="F830" s="16"/>
    </row>
    <row r="831" ht="30.0" customHeight="1">
      <c r="A831" s="15"/>
      <c r="F831" s="16"/>
    </row>
    <row r="832" ht="30.0" customHeight="1">
      <c r="A832" s="15"/>
      <c r="F832" s="16"/>
    </row>
    <row r="833" ht="30.0" customHeight="1">
      <c r="A833" s="15"/>
      <c r="F833" s="16"/>
    </row>
    <row r="834" ht="30.0" customHeight="1">
      <c r="A834" s="15"/>
      <c r="F834" s="16"/>
    </row>
    <row r="835" ht="30.0" customHeight="1">
      <c r="A835" s="15"/>
      <c r="F835" s="16"/>
    </row>
    <row r="836" ht="30.0" customHeight="1">
      <c r="A836" s="15"/>
      <c r="F836" s="16"/>
    </row>
    <row r="837" ht="30.0" customHeight="1">
      <c r="A837" s="15"/>
      <c r="F837" s="16"/>
    </row>
    <row r="838" ht="30.0" customHeight="1">
      <c r="A838" s="15"/>
      <c r="F838" s="16"/>
    </row>
    <row r="839" ht="30.0" customHeight="1">
      <c r="A839" s="15"/>
      <c r="F839" s="16"/>
    </row>
    <row r="840" ht="30.0" customHeight="1">
      <c r="A840" s="15"/>
      <c r="F840" s="16"/>
    </row>
    <row r="841" ht="30.0" customHeight="1">
      <c r="A841" s="15"/>
      <c r="F841" s="16"/>
    </row>
    <row r="842" ht="30.0" customHeight="1">
      <c r="A842" s="15"/>
      <c r="F842" s="16"/>
    </row>
    <row r="843" ht="30.0" customHeight="1">
      <c r="A843" s="15"/>
      <c r="F843" s="16"/>
    </row>
    <row r="844" ht="30.0" customHeight="1">
      <c r="A844" s="15"/>
      <c r="F844" s="16"/>
    </row>
    <row r="845" ht="30.0" customHeight="1">
      <c r="A845" s="15"/>
      <c r="F845" s="16"/>
    </row>
    <row r="846" ht="30.0" customHeight="1">
      <c r="A846" s="15"/>
      <c r="F846" s="16"/>
    </row>
    <row r="847" ht="30.0" customHeight="1">
      <c r="A847" s="15"/>
      <c r="F847" s="16"/>
    </row>
    <row r="848" ht="30.0" customHeight="1">
      <c r="A848" s="15"/>
      <c r="F848" s="16"/>
    </row>
    <row r="849" ht="30.0" customHeight="1">
      <c r="A849" s="15"/>
      <c r="F849" s="16"/>
    </row>
    <row r="850" ht="30.0" customHeight="1">
      <c r="A850" s="15"/>
      <c r="F850" s="16"/>
    </row>
    <row r="851" ht="30.0" customHeight="1">
      <c r="A851" s="15"/>
      <c r="F851" s="16"/>
    </row>
    <row r="852" ht="30.0" customHeight="1">
      <c r="A852" s="15"/>
      <c r="F852" s="16"/>
    </row>
    <row r="853" ht="30.0" customHeight="1">
      <c r="A853" s="15"/>
      <c r="F853" s="16"/>
    </row>
    <row r="854" ht="30.0" customHeight="1">
      <c r="A854" s="15"/>
      <c r="F854" s="16"/>
    </row>
    <row r="855" ht="30.0" customHeight="1">
      <c r="A855" s="15"/>
      <c r="F855" s="16"/>
    </row>
    <row r="856" ht="30.0" customHeight="1">
      <c r="A856" s="15"/>
      <c r="F856" s="16"/>
    </row>
    <row r="857" ht="30.0" customHeight="1">
      <c r="A857" s="15"/>
      <c r="F857" s="16"/>
    </row>
    <row r="858" ht="30.0" customHeight="1">
      <c r="A858" s="15"/>
      <c r="F858" s="16"/>
    </row>
    <row r="859" ht="30.0" customHeight="1">
      <c r="A859" s="15"/>
      <c r="F859" s="16"/>
    </row>
    <row r="860" ht="30.0" customHeight="1">
      <c r="A860" s="15"/>
      <c r="F860" s="16"/>
    </row>
    <row r="861" ht="30.0" customHeight="1">
      <c r="A861" s="15"/>
      <c r="F861" s="16"/>
    </row>
    <row r="862" ht="30.0" customHeight="1">
      <c r="A862" s="15"/>
      <c r="F862" s="16"/>
    </row>
    <row r="863" ht="30.0" customHeight="1">
      <c r="A863" s="15"/>
      <c r="F863" s="16"/>
    </row>
    <row r="864" ht="30.0" customHeight="1">
      <c r="A864" s="15"/>
      <c r="F864" s="16"/>
    </row>
    <row r="865" ht="30.0" customHeight="1">
      <c r="A865" s="15"/>
      <c r="F865" s="16"/>
    </row>
    <row r="866" ht="30.0" customHeight="1">
      <c r="A866" s="15"/>
      <c r="F866" s="16"/>
    </row>
    <row r="867" ht="30.0" customHeight="1">
      <c r="A867" s="15"/>
      <c r="F867" s="16"/>
    </row>
    <row r="868" ht="30.0" customHeight="1">
      <c r="A868" s="15"/>
      <c r="F868" s="16"/>
    </row>
    <row r="869" ht="30.0" customHeight="1">
      <c r="A869" s="15"/>
      <c r="F869" s="16"/>
    </row>
    <row r="870" ht="30.0" customHeight="1">
      <c r="A870" s="15"/>
      <c r="F870" s="16"/>
    </row>
    <row r="871" ht="30.0" customHeight="1">
      <c r="A871" s="15"/>
      <c r="F871" s="16"/>
    </row>
    <row r="872" ht="30.0" customHeight="1">
      <c r="A872" s="15"/>
      <c r="F872" s="16"/>
    </row>
    <row r="873" ht="30.0" customHeight="1">
      <c r="A873" s="15"/>
      <c r="F873" s="16"/>
    </row>
    <row r="874" ht="30.0" customHeight="1">
      <c r="A874" s="15"/>
      <c r="F874" s="16"/>
    </row>
    <row r="875" ht="30.0" customHeight="1">
      <c r="A875" s="15"/>
      <c r="F875" s="16"/>
    </row>
    <row r="876" ht="30.0" customHeight="1">
      <c r="A876" s="15"/>
      <c r="F876" s="16"/>
    </row>
    <row r="877" ht="30.0" customHeight="1">
      <c r="A877" s="15"/>
      <c r="F877" s="16"/>
    </row>
    <row r="878" ht="30.0" customHeight="1">
      <c r="A878" s="15"/>
      <c r="F878" s="16"/>
    </row>
    <row r="879" ht="30.0" customHeight="1">
      <c r="A879" s="15"/>
      <c r="F879" s="16"/>
    </row>
    <row r="880" ht="30.0" customHeight="1">
      <c r="A880" s="15"/>
      <c r="F880" s="16"/>
    </row>
    <row r="881" ht="30.0" customHeight="1">
      <c r="A881" s="15"/>
      <c r="F881" s="16"/>
    </row>
    <row r="882" ht="30.0" customHeight="1">
      <c r="A882" s="15"/>
      <c r="F882" s="16"/>
    </row>
    <row r="883" ht="30.0" customHeight="1">
      <c r="A883" s="15"/>
      <c r="F883" s="16"/>
    </row>
    <row r="884" ht="30.0" customHeight="1">
      <c r="A884" s="15"/>
      <c r="F884" s="16"/>
    </row>
    <row r="885" ht="30.0" customHeight="1">
      <c r="A885" s="15"/>
      <c r="F885" s="16"/>
    </row>
    <row r="886" ht="30.0" customHeight="1">
      <c r="A886" s="15"/>
      <c r="F886" s="16"/>
    </row>
    <row r="887" ht="30.0" customHeight="1">
      <c r="A887" s="15"/>
      <c r="F887" s="16"/>
    </row>
    <row r="888" ht="30.0" customHeight="1">
      <c r="A888" s="15"/>
      <c r="F888" s="16"/>
    </row>
    <row r="889" ht="30.0" customHeight="1">
      <c r="A889" s="15"/>
      <c r="F889" s="16"/>
    </row>
    <row r="890" ht="30.0" customHeight="1">
      <c r="A890" s="15"/>
      <c r="F890" s="16"/>
    </row>
    <row r="891" ht="30.0" customHeight="1">
      <c r="A891" s="15"/>
      <c r="F891" s="16"/>
    </row>
    <row r="892" ht="30.0" customHeight="1">
      <c r="A892" s="15"/>
      <c r="F892" s="16"/>
    </row>
    <row r="893" ht="30.0" customHeight="1">
      <c r="A893" s="15"/>
      <c r="F893" s="16"/>
    </row>
    <row r="894" ht="30.0" customHeight="1">
      <c r="A894" s="15"/>
      <c r="F894" s="16"/>
    </row>
    <row r="895" ht="30.0" customHeight="1">
      <c r="A895" s="15"/>
      <c r="F895" s="16"/>
    </row>
    <row r="896" ht="30.0" customHeight="1">
      <c r="A896" s="15"/>
      <c r="F896" s="16"/>
    </row>
    <row r="897" ht="30.0" customHeight="1">
      <c r="A897" s="15"/>
      <c r="F897" s="16"/>
    </row>
    <row r="898" ht="30.0" customHeight="1">
      <c r="A898" s="15"/>
      <c r="F898" s="16"/>
    </row>
    <row r="899" ht="30.0" customHeight="1">
      <c r="A899" s="15"/>
      <c r="F899" s="16"/>
    </row>
    <row r="900" ht="30.0" customHeight="1">
      <c r="A900" s="15"/>
      <c r="F900" s="16"/>
    </row>
    <row r="901" ht="30.0" customHeight="1">
      <c r="A901" s="15"/>
      <c r="F901" s="16"/>
    </row>
    <row r="902" ht="30.0" customHeight="1">
      <c r="A902" s="15"/>
      <c r="F902" s="16"/>
    </row>
    <row r="903" ht="30.0" customHeight="1">
      <c r="A903" s="15"/>
      <c r="F903" s="16"/>
    </row>
    <row r="904" ht="30.0" customHeight="1">
      <c r="A904" s="15"/>
      <c r="F904" s="16"/>
    </row>
    <row r="905" ht="30.0" customHeight="1">
      <c r="A905" s="15"/>
      <c r="F905" s="16"/>
    </row>
    <row r="906" ht="30.0" customHeight="1">
      <c r="A906" s="15"/>
      <c r="F906" s="16"/>
    </row>
    <row r="907" ht="30.0" customHeight="1">
      <c r="A907" s="15"/>
      <c r="F907" s="16"/>
    </row>
    <row r="908" ht="30.0" customHeight="1">
      <c r="A908" s="15"/>
      <c r="F908" s="16"/>
    </row>
    <row r="909" ht="30.0" customHeight="1">
      <c r="A909" s="15"/>
      <c r="F909" s="16"/>
    </row>
    <row r="910" ht="30.0" customHeight="1">
      <c r="A910" s="15"/>
      <c r="F910" s="16"/>
    </row>
    <row r="911" ht="30.0" customHeight="1">
      <c r="A911" s="15"/>
      <c r="F911" s="16"/>
    </row>
    <row r="912" ht="30.0" customHeight="1">
      <c r="A912" s="15"/>
      <c r="F912" s="16"/>
    </row>
    <row r="913" ht="30.0" customHeight="1">
      <c r="A913" s="15"/>
      <c r="F913" s="16"/>
    </row>
    <row r="914" ht="30.0" customHeight="1">
      <c r="A914" s="15"/>
      <c r="F914" s="16"/>
    </row>
    <row r="915" ht="30.0" customHeight="1">
      <c r="A915" s="15"/>
      <c r="F915" s="16"/>
    </row>
    <row r="916" ht="30.0" customHeight="1">
      <c r="A916" s="15"/>
      <c r="F916" s="16"/>
    </row>
    <row r="917" ht="30.0" customHeight="1">
      <c r="A917" s="15"/>
      <c r="F917" s="16"/>
    </row>
    <row r="918" ht="30.0" customHeight="1">
      <c r="A918" s="15"/>
      <c r="F918" s="16"/>
    </row>
    <row r="919" ht="30.0" customHeight="1">
      <c r="A919" s="15"/>
      <c r="F919" s="16"/>
    </row>
    <row r="920" ht="30.0" customHeight="1">
      <c r="A920" s="15"/>
      <c r="F920" s="16"/>
    </row>
    <row r="921" ht="30.0" customHeight="1">
      <c r="A921" s="15"/>
      <c r="F921" s="16"/>
    </row>
    <row r="922" ht="30.0" customHeight="1">
      <c r="A922" s="15"/>
      <c r="F922" s="16"/>
    </row>
    <row r="923" ht="30.0" customHeight="1">
      <c r="A923" s="15"/>
      <c r="F923" s="16"/>
    </row>
    <row r="924" ht="30.0" customHeight="1">
      <c r="A924" s="15"/>
      <c r="F924" s="16"/>
    </row>
    <row r="925" ht="30.0" customHeight="1">
      <c r="A925" s="15"/>
      <c r="F925" s="16"/>
    </row>
    <row r="926" ht="30.0" customHeight="1">
      <c r="A926" s="15"/>
      <c r="F926" s="16"/>
    </row>
    <row r="927" ht="30.0" customHeight="1">
      <c r="A927" s="15"/>
      <c r="F927" s="16"/>
    </row>
    <row r="928" ht="30.0" customHeight="1">
      <c r="A928" s="15"/>
      <c r="F928" s="16"/>
    </row>
    <row r="929" ht="30.0" customHeight="1">
      <c r="A929" s="15"/>
      <c r="F929" s="16"/>
    </row>
    <row r="930" ht="30.0" customHeight="1">
      <c r="A930" s="15"/>
      <c r="F930" s="16"/>
    </row>
    <row r="931" ht="30.0" customHeight="1">
      <c r="A931" s="15"/>
      <c r="F931" s="16"/>
    </row>
    <row r="932" ht="30.0" customHeight="1">
      <c r="A932" s="15"/>
      <c r="F932" s="16"/>
    </row>
    <row r="933" ht="30.0" customHeight="1">
      <c r="A933" s="15"/>
      <c r="F933" s="16"/>
    </row>
    <row r="934" ht="30.0" customHeight="1">
      <c r="A934" s="15"/>
      <c r="F934" s="16"/>
    </row>
    <row r="935" ht="30.0" customHeight="1">
      <c r="A935" s="15"/>
      <c r="F935" s="16"/>
    </row>
    <row r="936" ht="30.0" customHeight="1">
      <c r="A936" s="15"/>
      <c r="F936" s="16"/>
    </row>
    <row r="937" ht="30.0" customHeight="1">
      <c r="A937" s="15"/>
      <c r="F937" s="16"/>
    </row>
    <row r="938" ht="30.0" customHeight="1">
      <c r="A938" s="15"/>
      <c r="F938" s="16"/>
    </row>
    <row r="939" ht="30.0" customHeight="1">
      <c r="A939" s="15"/>
      <c r="F939" s="16"/>
    </row>
    <row r="940" ht="30.0" customHeight="1">
      <c r="A940" s="15"/>
      <c r="F940" s="16"/>
    </row>
    <row r="941" ht="30.0" customHeight="1">
      <c r="A941" s="15"/>
      <c r="F941" s="16"/>
    </row>
    <row r="942" ht="30.0" customHeight="1">
      <c r="A942" s="15"/>
      <c r="F942" s="16"/>
    </row>
    <row r="943" ht="30.0" customHeight="1">
      <c r="A943" s="15"/>
      <c r="F943" s="16"/>
    </row>
    <row r="944" ht="30.0" customHeight="1">
      <c r="A944" s="15"/>
      <c r="F944" s="16"/>
    </row>
    <row r="945" ht="30.0" customHeight="1">
      <c r="A945" s="15"/>
      <c r="F945" s="16"/>
    </row>
    <row r="946" ht="30.0" customHeight="1">
      <c r="A946" s="15"/>
      <c r="F946" s="16"/>
    </row>
    <row r="947" ht="30.0" customHeight="1">
      <c r="A947" s="15"/>
      <c r="F947" s="16"/>
    </row>
    <row r="948" ht="30.0" customHeight="1">
      <c r="A948" s="15"/>
      <c r="F948" s="16"/>
    </row>
    <row r="949" ht="30.0" customHeight="1">
      <c r="A949" s="15"/>
      <c r="F949" s="16"/>
    </row>
    <row r="950" ht="30.0" customHeight="1">
      <c r="A950" s="15"/>
      <c r="F950" s="16"/>
    </row>
    <row r="951" ht="30.0" customHeight="1">
      <c r="A951" s="15"/>
      <c r="F951" s="16"/>
    </row>
    <row r="952" ht="30.0" customHeight="1">
      <c r="A952" s="15"/>
      <c r="F952" s="16"/>
    </row>
    <row r="953" ht="30.0" customHeight="1">
      <c r="A953" s="15"/>
      <c r="F953" s="16"/>
    </row>
    <row r="954" ht="30.0" customHeight="1">
      <c r="A954" s="15"/>
      <c r="F954" s="16"/>
    </row>
    <row r="955" ht="30.0" customHeight="1">
      <c r="A955" s="15"/>
      <c r="F955" s="16"/>
    </row>
    <row r="956" ht="30.0" customHeight="1">
      <c r="A956" s="15"/>
      <c r="F956" s="16"/>
    </row>
    <row r="957" ht="30.0" customHeight="1">
      <c r="A957" s="15"/>
      <c r="F957" s="16"/>
    </row>
    <row r="958" ht="30.0" customHeight="1">
      <c r="A958" s="15"/>
      <c r="F958" s="16"/>
    </row>
    <row r="959" ht="30.0" customHeight="1">
      <c r="A959" s="15"/>
      <c r="F959" s="16"/>
    </row>
    <row r="960" ht="30.0" customHeight="1">
      <c r="A960" s="15"/>
      <c r="F960" s="16"/>
    </row>
    <row r="961" ht="30.0" customHeight="1">
      <c r="A961" s="15"/>
      <c r="F961" s="16"/>
    </row>
    <row r="962" ht="30.0" customHeight="1">
      <c r="A962" s="15"/>
      <c r="F962" s="16"/>
    </row>
    <row r="963" ht="30.0" customHeight="1">
      <c r="A963" s="15"/>
      <c r="F963" s="16"/>
    </row>
    <row r="964" ht="30.0" customHeight="1">
      <c r="A964" s="15"/>
      <c r="F964" s="16"/>
    </row>
    <row r="965" ht="30.0" customHeight="1">
      <c r="A965" s="15"/>
      <c r="F965" s="16"/>
    </row>
    <row r="966" ht="30.0" customHeight="1">
      <c r="A966" s="15"/>
      <c r="F966" s="16"/>
    </row>
    <row r="967" ht="30.0" customHeight="1">
      <c r="A967" s="15"/>
      <c r="F967" s="16"/>
    </row>
    <row r="968" ht="30.0" customHeight="1">
      <c r="A968" s="15"/>
      <c r="F968" s="16"/>
    </row>
    <row r="969" ht="30.0" customHeight="1">
      <c r="A969" s="15"/>
      <c r="F969" s="16"/>
    </row>
    <row r="970" ht="30.0" customHeight="1">
      <c r="A970" s="15"/>
      <c r="F970" s="16"/>
    </row>
    <row r="971" ht="30.0" customHeight="1">
      <c r="A971" s="15"/>
      <c r="F971" s="16"/>
    </row>
    <row r="972" ht="30.0" customHeight="1">
      <c r="A972" s="15"/>
      <c r="F972" s="16"/>
    </row>
    <row r="973" ht="30.0" customHeight="1">
      <c r="A973" s="15"/>
      <c r="F973" s="16"/>
    </row>
    <row r="974" ht="30.0" customHeight="1">
      <c r="A974" s="15"/>
      <c r="F974" s="16"/>
    </row>
    <row r="975" ht="30.0" customHeight="1">
      <c r="A975" s="15"/>
      <c r="F975" s="16"/>
    </row>
    <row r="976" ht="30.0" customHeight="1">
      <c r="A976" s="15"/>
      <c r="F976" s="16"/>
    </row>
    <row r="977" ht="30.0" customHeight="1">
      <c r="A977" s="15"/>
      <c r="F977" s="16"/>
    </row>
    <row r="978" ht="30.0" customHeight="1">
      <c r="A978" s="15"/>
      <c r="F978" s="16"/>
    </row>
    <row r="979" ht="30.0" customHeight="1">
      <c r="A979" s="15"/>
      <c r="F979" s="16"/>
    </row>
    <row r="980" ht="30.0" customHeight="1">
      <c r="A980" s="15"/>
      <c r="F980" s="16"/>
    </row>
    <row r="981" ht="30.0" customHeight="1">
      <c r="A981" s="15"/>
      <c r="F981" s="16"/>
    </row>
    <row r="982" ht="30.0" customHeight="1">
      <c r="A982" s="15"/>
      <c r="F982" s="16"/>
    </row>
    <row r="983" ht="30.0" customHeight="1">
      <c r="A983" s="15"/>
      <c r="F983" s="16"/>
    </row>
    <row r="984" ht="30.0" customHeight="1">
      <c r="A984" s="15"/>
      <c r="F984" s="16"/>
    </row>
    <row r="985" ht="30.0" customHeight="1">
      <c r="A985" s="15"/>
      <c r="F985" s="16"/>
    </row>
    <row r="986" ht="30.0" customHeight="1">
      <c r="A986" s="15"/>
      <c r="F986" s="16"/>
    </row>
    <row r="987" ht="30.0" customHeight="1">
      <c r="A987" s="15"/>
      <c r="F987" s="16"/>
    </row>
    <row r="988" ht="30.0" customHeight="1">
      <c r="A988" s="15"/>
      <c r="F988" s="16"/>
    </row>
    <row r="989" ht="30.0" customHeight="1">
      <c r="A989" s="15"/>
      <c r="F989" s="16"/>
    </row>
    <row r="990" ht="30.0" customHeight="1">
      <c r="A990" s="15"/>
      <c r="F990" s="16"/>
    </row>
    <row r="991" ht="30.0" customHeight="1">
      <c r="A991" s="15"/>
      <c r="F991" s="16"/>
    </row>
    <row r="992" ht="30.0" customHeight="1">
      <c r="A992" s="15"/>
      <c r="F992" s="16"/>
    </row>
    <row r="993" ht="30.0" customHeight="1">
      <c r="A993" s="15"/>
      <c r="F993" s="16"/>
    </row>
    <row r="994" ht="30.0" customHeight="1">
      <c r="A994" s="15"/>
      <c r="F994" s="16"/>
    </row>
    <row r="995" ht="30.0" customHeight="1">
      <c r="A995" s="15"/>
      <c r="F995" s="16"/>
    </row>
    <row r="996" ht="30.0" customHeight="1">
      <c r="A996" s="15"/>
      <c r="F996" s="16"/>
    </row>
    <row r="997" ht="30.0" customHeight="1">
      <c r="A997" s="15"/>
      <c r="F997" s="16"/>
    </row>
    <row r="998" ht="30.0" customHeight="1">
      <c r="A998" s="15"/>
      <c r="F998" s="16"/>
    </row>
    <row r="999" ht="30.0" customHeight="1">
      <c r="A999" s="15"/>
      <c r="F999" s="16"/>
    </row>
    <row r="1000" ht="30.0" customHeight="1">
      <c r="A1000" s="15"/>
      <c r="F1000" s="16"/>
    </row>
  </sheetData>
  <mergeCells count="8">
    <mergeCell ref="B2:H2"/>
    <mergeCell ref="I2:N2"/>
    <mergeCell ref="O2:T2"/>
    <mergeCell ref="I4:L4"/>
    <mergeCell ref="N4:Q4"/>
    <mergeCell ref="S4:V4"/>
    <mergeCell ref="X4:AA4"/>
    <mergeCell ref="AC4:AF4"/>
  </mergeCells>
  <conditionalFormatting sqref="I7:BL36">
    <cfRule type="expression" dxfId="0" priority="1">
      <formula>AND(TODAY()&gt;=I$7,TODAY()&lt;J$7)</formula>
    </cfRule>
  </conditionalFormatting>
  <conditionalFormatting sqref="I6:BL6">
    <cfRule type="expression" dxfId="1" priority="2">
      <formula>AND(I$7&lt;=EOMONTH($I$7,1),I$7&gt;EOMONTH($I$7,0))</formula>
    </cfRule>
  </conditionalFormatting>
  <conditionalFormatting sqref="J6:BL6">
    <cfRule type="expression" dxfId="2" priority="3">
      <formula>AND(J$7&lt;=EOMONTH($I$7,2),J$7&gt;EOMONTH($I$7,0),J$7&gt;EOMONTH($I$7,1))</formula>
    </cfRule>
  </conditionalFormatting>
  <conditionalFormatting sqref="I6:AM6">
    <cfRule type="expression" dxfId="2" priority="4">
      <formula>I$7&lt;=EOMONTH($I$7,0)</formula>
    </cfRule>
  </conditionalFormatting>
  <conditionalFormatting sqref="I10:BL35">
    <cfRule type="expression" dxfId="3" priority="5">
      <formula>AND($C10="Risco Baixo",I$7&gt;=$F10,I$7&lt;=$F10+$G10-1)</formula>
    </cfRule>
  </conditionalFormatting>
  <conditionalFormatting sqref="I10:BL35">
    <cfRule type="expression" dxfId="4" priority="6">
      <formula>AND($C10="Risco Elevado",I$7&gt;=$F10,I$7&lt;=$F10+$G10-1)</formula>
    </cfRule>
  </conditionalFormatting>
  <conditionalFormatting sqref="I10:BL35">
    <cfRule type="expression" dxfId="5" priority="7">
      <formula>AND($C10="Dentro do prazo",I$7&gt;=$F10,I$7&lt;=$F10+$G10-1)</formula>
    </cfRule>
  </conditionalFormatting>
  <conditionalFormatting sqref="I10:BL35">
    <cfRule type="expression" dxfId="6" priority="8">
      <formula>AND($C10="Risco Médio",I$7&gt;=$F10,I$7&lt;=$F10+$G10-1)</formula>
    </cfRule>
  </conditionalFormatting>
  <conditionalFormatting sqref="I10:BL35">
    <cfRule type="expression" dxfId="7" priority="9">
      <formula>AND(LEN($C10)=0,I$7&gt;=$F10,I$7&lt;=$F10+$G10-1)</formula>
    </cfRule>
  </conditionalFormatting>
  <dataValidations>
    <dataValidation type="decimal" operator="greaterThanOrEqual" allowBlank="1" showInputMessage="1" prompt="Incremento de Deslocamento - Alterar este número irá deslocar a vista do Gráfico Gantt." sqref="C7">
      <formula1>0.0</formula1>
    </dataValidation>
    <dataValidation type="list" allowBlank="1" showErrorMessage="1" sqref="C10 C12:C35">
      <formula1>"Objetivo,Marco,Dentro do prazo,Risco Baixo,Risco Médio,Risco Elevado"</formula1>
    </dataValidation>
    <dataValidation type="list" allowBlank="1" sqref="C11">
      <formula1>"Objetivo,Marco,Dentro do prazo,Risco Baixo,Risco Médio,Risco Elevado"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6.71"/>
    <col customWidth="1" min="3" max="3" width="16.71"/>
    <col customWidth="1" min="4" max="4" width="44.86"/>
    <col customWidth="1" min="5" max="6" width="15.71"/>
    <col customWidth="1" min="7" max="7" width="12.71"/>
    <col customWidth="1" min="8" max="8" width="10.43"/>
    <col customWidth="1" min="9" max="9" width="2.71"/>
    <col customWidth="1" min="10" max="66" width="5.71"/>
    <col customWidth="1" min="67" max="69" width="8.86"/>
  </cols>
  <sheetData>
    <row r="1" ht="24.75" customHeight="1">
      <c r="A1" s="15"/>
      <c r="G1" s="16"/>
    </row>
    <row r="2" ht="49.5" customHeight="1">
      <c r="A2" s="17" t="s">
        <v>0</v>
      </c>
      <c r="B2" s="73" t="s">
        <v>38</v>
      </c>
      <c r="C2" s="5"/>
      <c r="D2" s="5"/>
      <c r="E2" s="5"/>
      <c r="F2" s="5"/>
      <c r="G2" s="5"/>
      <c r="H2" s="5"/>
      <c r="I2" s="6"/>
      <c r="J2" s="74"/>
      <c r="K2" s="5"/>
      <c r="L2" s="5"/>
      <c r="M2" s="5"/>
      <c r="N2" s="5"/>
      <c r="O2" s="6"/>
      <c r="P2" s="75"/>
      <c r="Q2" s="5"/>
      <c r="R2" s="5"/>
      <c r="S2" s="5"/>
      <c r="T2" s="5"/>
      <c r="U2" s="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</row>
    <row r="3" ht="19.5" customHeight="1">
      <c r="A3" s="17"/>
      <c r="B3" s="77"/>
      <c r="C3" s="78"/>
      <c r="D3" s="79"/>
      <c r="E3" s="79"/>
      <c r="F3" s="79"/>
      <c r="G3" s="80"/>
      <c r="H3" s="81"/>
      <c r="I3" s="81"/>
      <c r="J3" s="82"/>
      <c r="K3" s="81"/>
      <c r="L3" s="81"/>
      <c r="M3" s="81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</row>
    <row r="4" ht="30.0" customHeight="1">
      <c r="A4" s="17"/>
      <c r="B4" s="84" t="s">
        <v>39</v>
      </c>
      <c r="C4" s="85"/>
      <c r="D4" s="86"/>
      <c r="E4" s="83"/>
      <c r="F4" s="83"/>
      <c r="G4" s="87"/>
      <c r="H4" s="88" t="s">
        <v>3</v>
      </c>
      <c r="I4" s="83"/>
      <c r="J4" s="34" t="s">
        <v>4</v>
      </c>
      <c r="K4" s="5"/>
      <c r="L4" s="5"/>
      <c r="M4" s="6"/>
      <c r="N4" s="83"/>
      <c r="O4" s="35" t="s">
        <v>5</v>
      </c>
      <c r="P4" s="5"/>
      <c r="Q4" s="5"/>
      <c r="R4" s="6"/>
      <c r="S4" s="83"/>
      <c r="T4" s="36" t="s">
        <v>6</v>
      </c>
      <c r="U4" s="5"/>
      <c r="V4" s="5"/>
      <c r="W4" s="6"/>
      <c r="X4" s="83"/>
      <c r="Y4" s="37" t="s">
        <v>7</v>
      </c>
      <c r="Z4" s="5"/>
      <c r="AA4" s="5"/>
      <c r="AB4" s="6"/>
      <c r="AC4" s="83"/>
      <c r="AD4" s="38" t="s">
        <v>8</v>
      </c>
      <c r="AE4" s="5"/>
      <c r="AF4" s="5"/>
      <c r="AG4" s="6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</row>
    <row r="5" ht="30.0" customHeight="1">
      <c r="A5" s="17" t="s">
        <v>9</v>
      </c>
      <c r="B5" s="84" t="s">
        <v>40</v>
      </c>
      <c r="C5" s="86"/>
      <c r="D5" s="86"/>
      <c r="E5" s="83"/>
      <c r="F5" s="83"/>
      <c r="G5" s="87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</row>
    <row r="6" ht="30.0" customHeight="1">
      <c r="A6" s="17"/>
      <c r="B6" s="89" t="s">
        <v>11</v>
      </c>
      <c r="C6" s="90">
        <v>46092.0</v>
      </c>
      <c r="D6" s="91"/>
      <c r="E6" s="83"/>
      <c r="F6" s="83"/>
      <c r="G6" s="87"/>
      <c r="H6" s="83"/>
      <c r="I6" s="83"/>
      <c r="J6" s="92" t="str">
        <f>TEXT(J7,"mmmm")</f>
        <v>março</v>
      </c>
      <c r="K6" s="92"/>
      <c r="L6" s="92"/>
      <c r="M6" s="92"/>
      <c r="N6" s="92"/>
      <c r="O6" s="92"/>
      <c r="P6" s="92"/>
      <c r="Q6" s="92" t="str">
        <f>IF(TEXT(Q7,"mmmm")=J6,"",TEXT(Q7,"mmmm"))</f>
        <v/>
      </c>
      <c r="R6" s="92"/>
      <c r="S6" s="92"/>
      <c r="T6" s="92"/>
      <c r="U6" s="92"/>
      <c r="V6" s="92"/>
      <c r="W6" s="92"/>
      <c r="X6" s="92" t="str">
        <f>IF(OR(TEXT(X7,"mmmm")=Q6,TEXT(X7,"mmmm")=J6),"",TEXT(X7,"mmmm"))</f>
        <v/>
      </c>
      <c r="Y6" s="92"/>
      <c r="Z6" s="92"/>
      <c r="AA6" s="92"/>
      <c r="AB6" s="92"/>
      <c r="AC6" s="92"/>
      <c r="AD6" s="92"/>
      <c r="AE6" s="92" t="str">
        <f>IF(OR(TEXT(AE7,"mmmm")=X6,TEXT(AE7,"mmmm")=Q6,TEXT(AE7,"mmmm")=J6),"",TEXT(AE7,"mmmm"))</f>
        <v>abril</v>
      </c>
      <c r="AF6" s="92"/>
      <c r="AG6" s="92"/>
      <c r="AH6" s="92"/>
      <c r="AI6" s="92"/>
      <c r="AJ6" s="92"/>
      <c r="AK6" s="92"/>
      <c r="AL6" s="92" t="str">
        <f>IF(OR(TEXT(AL7,"mmmm")=AE6,TEXT(AL7,"mmmm")=X6,TEXT(AL7,"mmmm")=Q6,TEXT(AL7,"mmmm")=J6),"",TEXT(AL7,"mmmm"))</f>
        <v/>
      </c>
      <c r="AM6" s="92"/>
      <c r="AN6" s="92"/>
      <c r="AO6" s="92"/>
      <c r="AP6" s="92"/>
      <c r="AQ6" s="92"/>
      <c r="AR6" s="92"/>
      <c r="AS6" s="92" t="str">
        <f>IF(OR(TEXT(AS7,"mmmm")=AL6,TEXT(AS7,"mmmm")=AE6,TEXT(AS7,"mmmm")=X6,TEXT(AS7,"mmmm")=Q6),"",TEXT(AS7,"mmmm"))</f>
        <v/>
      </c>
      <c r="AT6" s="92"/>
      <c r="AU6" s="92"/>
      <c r="AV6" s="92"/>
      <c r="AW6" s="92"/>
      <c r="AX6" s="92"/>
      <c r="AY6" s="92"/>
      <c r="AZ6" s="92" t="str">
        <f>IF(OR(TEXT(AZ7,"mmmm")=AS6,TEXT(AZ7,"mmmm")=AL6,TEXT(AZ7,"mmmm")=AE6,TEXT(AZ7,"mmmm")=X6),"",TEXT(AZ7,"mmmm"))</f>
        <v/>
      </c>
      <c r="BA6" s="92"/>
      <c r="BB6" s="92"/>
      <c r="BC6" s="93"/>
      <c r="BD6" s="94"/>
      <c r="BE6" s="94"/>
      <c r="BF6" s="94"/>
      <c r="BG6" s="94" t="str">
        <f>IF(OR(TEXT(BG7,"mmmm")=AZ6,TEXT(BG7,"mmmm")=AS6,TEXT(BG7,"mmmm")=AL6,TEXT(BG7,"mmmm")=AE6),"",TEXT(BG7,"mmmm"))</f>
        <v/>
      </c>
      <c r="BH6" s="94"/>
      <c r="BI6" s="94"/>
      <c r="BJ6" s="94"/>
      <c r="BK6" s="94"/>
      <c r="BL6" s="94"/>
      <c r="BM6" s="94"/>
      <c r="BN6" s="83"/>
    </row>
    <row r="7" ht="30.0" customHeight="1">
      <c r="A7" s="17"/>
      <c r="B7" s="89" t="s">
        <v>12</v>
      </c>
      <c r="C7" s="95">
        <v>0.0</v>
      </c>
      <c r="D7" s="86"/>
      <c r="E7" s="83"/>
      <c r="F7" s="83"/>
      <c r="G7" s="83"/>
      <c r="H7" s="83"/>
      <c r="I7" s="83"/>
      <c r="J7" s="96">
        <f>IFERROR(Escuro!Projeto_Início+Escuro!Incremento_de_Deslocamento,TODAY())</f>
        <v>46092</v>
      </c>
      <c r="K7" s="97">
        <f t="shared" ref="K7:BM7" si="1">J7+1</f>
        <v>46093</v>
      </c>
      <c r="L7" s="97">
        <f t="shared" si="1"/>
        <v>46094</v>
      </c>
      <c r="M7" s="97">
        <f t="shared" si="1"/>
        <v>46095</v>
      </c>
      <c r="N7" s="97">
        <f t="shared" si="1"/>
        <v>46096</v>
      </c>
      <c r="O7" s="97">
        <f t="shared" si="1"/>
        <v>46097</v>
      </c>
      <c r="P7" s="98">
        <f t="shared" si="1"/>
        <v>46098</v>
      </c>
      <c r="Q7" s="97">
        <f t="shared" si="1"/>
        <v>46099</v>
      </c>
      <c r="R7" s="97">
        <f t="shared" si="1"/>
        <v>46100</v>
      </c>
      <c r="S7" s="97">
        <f t="shared" si="1"/>
        <v>46101</v>
      </c>
      <c r="T7" s="97">
        <f t="shared" si="1"/>
        <v>46102</v>
      </c>
      <c r="U7" s="97">
        <f t="shared" si="1"/>
        <v>46103</v>
      </c>
      <c r="V7" s="97">
        <f t="shared" si="1"/>
        <v>46104</v>
      </c>
      <c r="W7" s="98">
        <f t="shared" si="1"/>
        <v>46105</v>
      </c>
      <c r="X7" s="97">
        <f t="shared" si="1"/>
        <v>46106</v>
      </c>
      <c r="Y7" s="97">
        <f t="shared" si="1"/>
        <v>46107</v>
      </c>
      <c r="Z7" s="97">
        <f t="shared" si="1"/>
        <v>46108</v>
      </c>
      <c r="AA7" s="97">
        <f t="shared" si="1"/>
        <v>46109</v>
      </c>
      <c r="AB7" s="97">
        <f t="shared" si="1"/>
        <v>46110</v>
      </c>
      <c r="AC7" s="97">
        <f t="shared" si="1"/>
        <v>46111</v>
      </c>
      <c r="AD7" s="98">
        <f t="shared" si="1"/>
        <v>46112</v>
      </c>
      <c r="AE7" s="97">
        <f t="shared" si="1"/>
        <v>46113</v>
      </c>
      <c r="AF7" s="97">
        <f t="shared" si="1"/>
        <v>46114</v>
      </c>
      <c r="AG7" s="97">
        <f t="shared" si="1"/>
        <v>46115</v>
      </c>
      <c r="AH7" s="97">
        <f t="shared" si="1"/>
        <v>46116</v>
      </c>
      <c r="AI7" s="97">
        <f t="shared" si="1"/>
        <v>46117</v>
      </c>
      <c r="AJ7" s="97">
        <f t="shared" si="1"/>
        <v>46118</v>
      </c>
      <c r="AK7" s="98">
        <f t="shared" si="1"/>
        <v>46119</v>
      </c>
      <c r="AL7" s="97">
        <f t="shared" si="1"/>
        <v>46120</v>
      </c>
      <c r="AM7" s="97">
        <f t="shared" si="1"/>
        <v>46121</v>
      </c>
      <c r="AN7" s="97">
        <f t="shared" si="1"/>
        <v>46122</v>
      </c>
      <c r="AO7" s="97">
        <f t="shared" si="1"/>
        <v>46123</v>
      </c>
      <c r="AP7" s="97">
        <f t="shared" si="1"/>
        <v>46124</v>
      </c>
      <c r="AQ7" s="97">
        <f t="shared" si="1"/>
        <v>46125</v>
      </c>
      <c r="AR7" s="98">
        <f t="shared" si="1"/>
        <v>46126</v>
      </c>
      <c r="AS7" s="97">
        <f t="shared" si="1"/>
        <v>46127</v>
      </c>
      <c r="AT7" s="97">
        <f t="shared" si="1"/>
        <v>46128</v>
      </c>
      <c r="AU7" s="97">
        <f t="shared" si="1"/>
        <v>46129</v>
      </c>
      <c r="AV7" s="97">
        <f t="shared" si="1"/>
        <v>46130</v>
      </c>
      <c r="AW7" s="97">
        <f t="shared" si="1"/>
        <v>46131</v>
      </c>
      <c r="AX7" s="97">
        <f t="shared" si="1"/>
        <v>46132</v>
      </c>
      <c r="AY7" s="98">
        <f t="shared" si="1"/>
        <v>46133</v>
      </c>
      <c r="AZ7" s="97">
        <f t="shared" si="1"/>
        <v>46134</v>
      </c>
      <c r="BA7" s="97">
        <f t="shared" si="1"/>
        <v>46135</v>
      </c>
      <c r="BB7" s="97">
        <f t="shared" si="1"/>
        <v>46136</v>
      </c>
      <c r="BC7" s="97">
        <f t="shared" si="1"/>
        <v>46137</v>
      </c>
      <c r="BD7" s="97">
        <f t="shared" si="1"/>
        <v>46138</v>
      </c>
      <c r="BE7" s="97">
        <f t="shared" si="1"/>
        <v>46139</v>
      </c>
      <c r="BF7" s="98">
        <f t="shared" si="1"/>
        <v>46140</v>
      </c>
      <c r="BG7" s="97">
        <f t="shared" si="1"/>
        <v>46141</v>
      </c>
      <c r="BH7" s="97">
        <f t="shared" si="1"/>
        <v>46142</v>
      </c>
      <c r="BI7" s="97">
        <f t="shared" si="1"/>
        <v>46143</v>
      </c>
      <c r="BJ7" s="97">
        <f t="shared" si="1"/>
        <v>46144</v>
      </c>
      <c r="BK7" s="97">
        <f t="shared" si="1"/>
        <v>46145</v>
      </c>
      <c r="BL7" s="97">
        <f t="shared" si="1"/>
        <v>46146</v>
      </c>
      <c r="BM7" s="99">
        <f t="shared" si="1"/>
        <v>46147</v>
      </c>
      <c r="BN7" s="83"/>
    </row>
    <row r="8" ht="19.5" customHeight="1">
      <c r="A8" s="17"/>
      <c r="B8" s="86"/>
      <c r="C8" s="86"/>
      <c r="D8" s="86"/>
      <c r="E8" s="83"/>
      <c r="F8" s="83"/>
      <c r="G8" s="83"/>
      <c r="H8" s="83"/>
      <c r="I8" s="83"/>
      <c r="J8" s="100"/>
      <c r="K8" s="101"/>
      <c r="L8" s="101"/>
      <c r="M8" s="101"/>
      <c r="N8" s="101"/>
      <c r="O8" s="101"/>
      <c r="P8" s="101"/>
      <c r="Q8" s="100"/>
      <c r="R8" s="101"/>
      <c r="S8" s="101"/>
      <c r="T8" s="101"/>
      <c r="U8" s="101"/>
      <c r="V8" s="101"/>
      <c r="W8" s="101"/>
      <c r="X8" s="100"/>
      <c r="Y8" s="101"/>
      <c r="Z8" s="101"/>
      <c r="AA8" s="101"/>
      <c r="AB8" s="101"/>
      <c r="AC8" s="101"/>
      <c r="AD8" s="101"/>
      <c r="AE8" s="100"/>
      <c r="AF8" s="101"/>
      <c r="AG8" s="101"/>
      <c r="AH8" s="101"/>
      <c r="AI8" s="101"/>
      <c r="AJ8" s="101"/>
      <c r="AK8" s="101"/>
      <c r="AL8" s="100"/>
      <c r="AM8" s="101"/>
      <c r="AN8" s="101"/>
      <c r="AO8" s="101"/>
      <c r="AP8" s="101"/>
      <c r="AQ8" s="101"/>
      <c r="AR8" s="101"/>
      <c r="AS8" s="100"/>
      <c r="AT8" s="101"/>
      <c r="AU8" s="101"/>
      <c r="AV8" s="101"/>
      <c r="AW8" s="101"/>
      <c r="AX8" s="101"/>
      <c r="AY8" s="101"/>
      <c r="AZ8" s="100"/>
      <c r="BA8" s="101"/>
      <c r="BB8" s="101"/>
      <c r="BC8" s="101"/>
      <c r="BD8" s="101"/>
      <c r="BE8" s="101"/>
      <c r="BF8" s="101"/>
      <c r="BG8" s="100"/>
      <c r="BH8" s="101"/>
      <c r="BI8" s="101"/>
      <c r="BJ8" s="101"/>
      <c r="BK8" s="101"/>
      <c r="BL8" s="101"/>
      <c r="BM8" s="102"/>
      <c r="BN8" s="83"/>
    </row>
    <row r="9" ht="39.75" customHeight="1">
      <c r="A9" s="17" t="s">
        <v>13</v>
      </c>
      <c r="B9" s="103" t="s">
        <v>14</v>
      </c>
      <c r="C9" s="104" t="s">
        <v>15</v>
      </c>
      <c r="D9" s="104" t="s">
        <v>16</v>
      </c>
      <c r="E9" s="105" t="s">
        <v>17</v>
      </c>
      <c r="F9" s="6"/>
      <c r="G9" s="104" t="s">
        <v>18</v>
      </c>
      <c r="H9" s="104" t="s">
        <v>19</v>
      </c>
      <c r="I9" s="106"/>
      <c r="J9" s="107" t="str">
        <f t="shared" ref="J9:BM9" si="2">LEFT(TEXT(J7,"ddd"),1)</f>
        <v>q</v>
      </c>
      <c r="K9" s="107" t="str">
        <f t="shared" si="2"/>
        <v>q</v>
      </c>
      <c r="L9" s="107" t="str">
        <f t="shared" si="2"/>
        <v>s</v>
      </c>
      <c r="M9" s="107" t="str">
        <f t="shared" si="2"/>
        <v>s</v>
      </c>
      <c r="N9" s="107" t="str">
        <f t="shared" si="2"/>
        <v>d</v>
      </c>
      <c r="O9" s="107" t="str">
        <f t="shared" si="2"/>
        <v>s</v>
      </c>
      <c r="P9" s="107" t="str">
        <f t="shared" si="2"/>
        <v>t</v>
      </c>
      <c r="Q9" s="107" t="str">
        <f t="shared" si="2"/>
        <v>q</v>
      </c>
      <c r="R9" s="107" t="str">
        <f t="shared" si="2"/>
        <v>q</v>
      </c>
      <c r="S9" s="107" t="str">
        <f t="shared" si="2"/>
        <v>s</v>
      </c>
      <c r="T9" s="107" t="str">
        <f t="shared" si="2"/>
        <v>s</v>
      </c>
      <c r="U9" s="107" t="str">
        <f t="shared" si="2"/>
        <v>d</v>
      </c>
      <c r="V9" s="107" t="str">
        <f t="shared" si="2"/>
        <v>s</v>
      </c>
      <c r="W9" s="107" t="str">
        <f t="shared" si="2"/>
        <v>t</v>
      </c>
      <c r="X9" s="107" t="str">
        <f t="shared" si="2"/>
        <v>q</v>
      </c>
      <c r="Y9" s="107" t="str">
        <f t="shared" si="2"/>
        <v>q</v>
      </c>
      <c r="Z9" s="107" t="str">
        <f t="shared" si="2"/>
        <v>s</v>
      </c>
      <c r="AA9" s="107" t="str">
        <f t="shared" si="2"/>
        <v>s</v>
      </c>
      <c r="AB9" s="107" t="str">
        <f t="shared" si="2"/>
        <v>d</v>
      </c>
      <c r="AC9" s="107" t="str">
        <f t="shared" si="2"/>
        <v>s</v>
      </c>
      <c r="AD9" s="107" t="str">
        <f t="shared" si="2"/>
        <v>t</v>
      </c>
      <c r="AE9" s="107" t="str">
        <f t="shared" si="2"/>
        <v>q</v>
      </c>
      <c r="AF9" s="107" t="str">
        <f t="shared" si="2"/>
        <v>q</v>
      </c>
      <c r="AG9" s="107" t="str">
        <f t="shared" si="2"/>
        <v>s</v>
      </c>
      <c r="AH9" s="107" t="str">
        <f t="shared" si="2"/>
        <v>s</v>
      </c>
      <c r="AI9" s="107" t="str">
        <f t="shared" si="2"/>
        <v>d</v>
      </c>
      <c r="AJ9" s="107" t="str">
        <f t="shared" si="2"/>
        <v>s</v>
      </c>
      <c r="AK9" s="107" t="str">
        <f t="shared" si="2"/>
        <v>t</v>
      </c>
      <c r="AL9" s="107" t="str">
        <f t="shared" si="2"/>
        <v>q</v>
      </c>
      <c r="AM9" s="107" t="str">
        <f t="shared" si="2"/>
        <v>q</v>
      </c>
      <c r="AN9" s="107" t="str">
        <f t="shared" si="2"/>
        <v>s</v>
      </c>
      <c r="AO9" s="107" t="str">
        <f t="shared" si="2"/>
        <v>s</v>
      </c>
      <c r="AP9" s="107" t="str">
        <f t="shared" si="2"/>
        <v>d</v>
      </c>
      <c r="AQ9" s="107" t="str">
        <f t="shared" si="2"/>
        <v>s</v>
      </c>
      <c r="AR9" s="107" t="str">
        <f t="shared" si="2"/>
        <v>t</v>
      </c>
      <c r="AS9" s="107" t="str">
        <f t="shared" si="2"/>
        <v>q</v>
      </c>
      <c r="AT9" s="107" t="str">
        <f t="shared" si="2"/>
        <v>q</v>
      </c>
      <c r="AU9" s="107" t="str">
        <f t="shared" si="2"/>
        <v>s</v>
      </c>
      <c r="AV9" s="107" t="str">
        <f t="shared" si="2"/>
        <v>s</v>
      </c>
      <c r="AW9" s="107" t="str">
        <f t="shared" si="2"/>
        <v>d</v>
      </c>
      <c r="AX9" s="107" t="str">
        <f t="shared" si="2"/>
        <v>s</v>
      </c>
      <c r="AY9" s="107" t="str">
        <f t="shared" si="2"/>
        <v>t</v>
      </c>
      <c r="AZ9" s="107" t="str">
        <f t="shared" si="2"/>
        <v>q</v>
      </c>
      <c r="BA9" s="107" t="str">
        <f t="shared" si="2"/>
        <v>q</v>
      </c>
      <c r="BB9" s="107" t="str">
        <f t="shared" si="2"/>
        <v>s</v>
      </c>
      <c r="BC9" s="107" t="str">
        <f t="shared" si="2"/>
        <v>s</v>
      </c>
      <c r="BD9" s="107" t="str">
        <f t="shared" si="2"/>
        <v>d</v>
      </c>
      <c r="BE9" s="107" t="str">
        <f t="shared" si="2"/>
        <v>s</v>
      </c>
      <c r="BF9" s="107" t="str">
        <f t="shared" si="2"/>
        <v>t</v>
      </c>
      <c r="BG9" s="107" t="str">
        <f t="shared" si="2"/>
        <v>q</v>
      </c>
      <c r="BH9" s="107" t="str">
        <f t="shared" si="2"/>
        <v>q</v>
      </c>
      <c r="BI9" s="107" t="str">
        <f t="shared" si="2"/>
        <v>s</v>
      </c>
      <c r="BJ9" s="107" t="str">
        <f t="shared" si="2"/>
        <v>s</v>
      </c>
      <c r="BK9" s="107" t="str">
        <f t="shared" si="2"/>
        <v>d</v>
      </c>
      <c r="BL9" s="107" t="str">
        <f t="shared" si="2"/>
        <v>s</v>
      </c>
      <c r="BM9" s="107" t="str">
        <f t="shared" si="2"/>
        <v>t</v>
      </c>
      <c r="BN9" s="83"/>
    </row>
    <row r="10" ht="30.0" hidden="1" customHeight="1">
      <c r="A10" s="15"/>
      <c r="B10" s="57"/>
      <c r="C10" s="58"/>
      <c r="D10" s="59"/>
      <c r="E10" s="58"/>
      <c r="F10" s="58"/>
      <c r="G10" s="60"/>
      <c r="H10" s="61"/>
      <c r="I10" s="83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83"/>
    </row>
    <row r="11" ht="39.75" customHeight="1">
      <c r="A11" s="17" t="s">
        <v>20</v>
      </c>
      <c r="B11" s="108" t="s">
        <v>41</v>
      </c>
      <c r="C11" s="109"/>
      <c r="D11" s="109"/>
      <c r="E11" s="110"/>
      <c r="F11" s="111" t="str">
        <f>IFERROR(__xludf.DUMMYFUNCTION("IFERROR(SPARKLINE(E11,{""charttype"",""bar"";""color1"",""green"";""max"",1}),""0%"")"),"0%")</f>
        <v>0%</v>
      </c>
      <c r="G11" s="112"/>
      <c r="H11" s="113">
        <v>8.0</v>
      </c>
      <c r="I11" s="114"/>
      <c r="J11" s="115" t="str">
        <f t="shared" ref="J11:BM11" si="3">IF(AND($C11="Objetivo",J$7&gt;=$G11,J$7&lt;=$G11+$H11-1),2,IF(AND($C11="Marco",J$7&gt;=$G11,J$7&lt;=$G11+$H11-1),1,""))</f>
        <v/>
      </c>
      <c r="K11" s="116" t="str">
        <f t="shared" si="3"/>
        <v/>
      </c>
      <c r="L11" s="116" t="str">
        <f t="shared" si="3"/>
        <v/>
      </c>
      <c r="M11" s="116" t="str">
        <f t="shared" si="3"/>
        <v/>
      </c>
      <c r="N11" s="116" t="str">
        <f t="shared" si="3"/>
        <v/>
      </c>
      <c r="O11" s="116" t="str">
        <f t="shared" si="3"/>
        <v/>
      </c>
      <c r="P11" s="116" t="str">
        <f t="shared" si="3"/>
        <v/>
      </c>
      <c r="Q11" s="116" t="str">
        <f t="shared" si="3"/>
        <v/>
      </c>
      <c r="R11" s="116" t="str">
        <f t="shared" si="3"/>
        <v/>
      </c>
      <c r="S11" s="116" t="str">
        <f t="shared" si="3"/>
        <v/>
      </c>
      <c r="T11" s="116" t="str">
        <f t="shared" si="3"/>
        <v/>
      </c>
      <c r="U11" s="116" t="str">
        <f t="shared" si="3"/>
        <v/>
      </c>
      <c r="V11" s="116" t="str">
        <f t="shared" si="3"/>
        <v/>
      </c>
      <c r="W11" s="116" t="str">
        <f t="shared" si="3"/>
        <v/>
      </c>
      <c r="X11" s="116" t="str">
        <f t="shared" si="3"/>
        <v/>
      </c>
      <c r="Y11" s="116" t="str">
        <f t="shared" si="3"/>
        <v/>
      </c>
      <c r="Z11" s="116" t="str">
        <f t="shared" si="3"/>
        <v/>
      </c>
      <c r="AA11" s="116" t="str">
        <f t="shared" si="3"/>
        <v/>
      </c>
      <c r="AB11" s="116" t="str">
        <f t="shared" si="3"/>
        <v/>
      </c>
      <c r="AC11" s="116" t="str">
        <f t="shared" si="3"/>
        <v/>
      </c>
      <c r="AD11" s="116" t="str">
        <f t="shared" si="3"/>
        <v/>
      </c>
      <c r="AE11" s="116" t="str">
        <f t="shared" si="3"/>
        <v/>
      </c>
      <c r="AF11" s="116" t="str">
        <f t="shared" si="3"/>
        <v/>
      </c>
      <c r="AG11" s="116" t="str">
        <f t="shared" si="3"/>
        <v/>
      </c>
      <c r="AH11" s="116" t="str">
        <f t="shared" si="3"/>
        <v/>
      </c>
      <c r="AI11" s="116" t="str">
        <f t="shared" si="3"/>
        <v/>
      </c>
      <c r="AJ11" s="116" t="str">
        <f t="shared" si="3"/>
        <v/>
      </c>
      <c r="AK11" s="116" t="str">
        <f t="shared" si="3"/>
        <v/>
      </c>
      <c r="AL11" s="116" t="str">
        <f t="shared" si="3"/>
        <v/>
      </c>
      <c r="AM11" s="116" t="str">
        <f t="shared" si="3"/>
        <v/>
      </c>
      <c r="AN11" s="116" t="str">
        <f t="shared" si="3"/>
        <v/>
      </c>
      <c r="AO11" s="116" t="str">
        <f t="shared" si="3"/>
        <v/>
      </c>
      <c r="AP11" s="116" t="str">
        <f t="shared" si="3"/>
        <v/>
      </c>
      <c r="AQ11" s="116" t="str">
        <f t="shared" si="3"/>
        <v/>
      </c>
      <c r="AR11" s="116" t="str">
        <f t="shared" si="3"/>
        <v/>
      </c>
      <c r="AS11" s="116" t="str">
        <f t="shared" si="3"/>
        <v/>
      </c>
      <c r="AT11" s="116" t="str">
        <f t="shared" si="3"/>
        <v/>
      </c>
      <c r="AU11" s="116" t="str">
        <f t="shared" si="3"/>
        <v/>
      </c>
      <c r="AV11" s="116" t="str">
        <f t="shared" si="3"/>
        <v/>
      </c>
      <c r="AW11" s="116" t="str">
        <f t="shared" si="3"/>
        <v/>
      </c>
      <c r="AX11" s="116" t="str">
        <f t="shared" si="3"/>
        <v/>
      </c>
      <c r="AY11" s="116" t="str">
        <f t="shared" si="3"/>
        <v/>
      </c>
      <c r="AZ11" s="116" t="str">
        <f t="shared" si="3"/>
        <v/>
      </c>
      <c r="BA11" s="116" t="str">
        <f t="shared" si="3"/>
        <v/>
      </c>
      <c r="BB11" s="116" t="str">
        <f t="shared" si="3"/>
        <v/>
      </c>
      <c r="BC11" s="116" t="str">
        <f t="shared" si="3"/>
        <v/>
      </c>
      <c r="BD11" s="116" t="str">
        <f t="shared" si="3"/>
        <v/>
      </c>
      <c r="BE11" s="116" t="str">
        <f t="shared" si="3"/>
        <v/>
      </c>
      <c r="BF11" s="116" t="str">
        <f t="shared" si="3"/>
        <v/>
      </c>
      <c r="BG11" s="116" t="str">
        <f t="shared" si="3"/>
        <v/>
      </c>
      <c r="BH11" s="116" t="str">
        <f t="shared" si="3"/>
        <v/>
      </c>
      <c r="BI11" s="116" t="str">
        <f t="shared" si="3"/>
        <v/>
      </c>
      <c r="BJ11" s="116" t="str">
        <f t="shared" si="3"/>
        <v/>
      </c>
      <c r="BK11" s="116" t="str">
        <f t="shared" si="3"/>
        <v/>
      </c>
      <c r="BL11" s="116" t="str">
        <f t="shared" si="3"/>
        <v/>
      </c>
      <c r="BM11" s="116" t="str">
        <f t="shared" si="3"/>
        <v/>
      </c>
      <c r="BN11" s="81"/>
      <c r="BO11" s="27"/>
      <c r="BP11" s="27"/>
      <c r="BQ11" s="69"/>
    </row>
    <row r="12" ht="39.75" customHeight="1">
      <c r="A12" s="17"/>
      <c r="B12" s="117" t="s">
        <v>42</v>
      </c>
      <c r="C12" s="118" t="s">
        <v>28</v>
      </c>
      <c r="D12" s="118" t="s">
        <v>43</v>
      </c>
      <c r="E12" s="119">
        <v>1.0</v>
      </c>
      <c r="F12" s="120" t="str">
        <f>IFERROR(__xludf.DUMMYFUNCTION("IFERROR(SPARKLINE(E12,{""charttype"",""bar"";""color1"",""green"";""max"",1}),""0%"")"),"")</f>
        <v/>
      </c>
      <c r="G12" s="121">
        <v>46092.0</v>
      </c>
      <c r="H12" s="122">
        <v>3.0</v>
      </c>
      <c r="I12" s="114"/>
      <c r="J12" s="115" t="str">
        <f t="shared" ref="J12:BM12" si="4">IF(AND($C12="Objetivo",J$7&gt;=$G12,J$7&lt;=$G12+$H12-1),2,IF(AND($C12="Marco",J$7&gt;=$G12,J$7&lt;=$G12+$H12-1),1,""))</f>
        <v/>
      </c>
      <c r="K12" s="116" t="str">
        <f t="shared" si="4"/>
        <v/>
      </c>
      <c r="L12" s="116" t="str">
        <f t="shared" si="4"/>
        <v/>
      </c>
      <c r="M12" s="116" t="str">
        <f t="shared" si="4"/>
        <v/>
      </c>
      <c r="N12" s="116" t="str">
        <f t="shared" si="4"/>
        <v/>
      </c>
      <c r="O12" s="116" t="str">
        <f t="shared" si="4"/>
        <v/>
      </c>
      <c r="P12" s="116" t="str">
        <f t="shared" si="4"/>
        <v/>
      </c>
      <c r="Q12" s="116" t="str">
        <f t="shared" si="4"/>
        <v/>
      </c>
      <c r="R12" s="116" t="str">
        <f t="shared" si="4"/>
        <v/>
      </c>
      <c r="S12" s="116" t="str">
        <f t="shared" si="4"/>
        <v/>
      </c>
      <c r="T12" s="116" t="str">
        <f t="shared" si="4"/>
        <v/>
      </c>
      <c r="U12" s="116" t="str">
        <f t="shared" si="4"/>
        <v/>
      </c>
      <c r="V12" s="116" t="str">
        <f t="shared" si="4"/>
        <v/>
      </c>
      <c r="W12" s="116" t="str">
        <f t="shared" si="4"/>
        <v/>
      </c>
      <c r="X12" s="116" t="str">
        <f t="shared" si="4"/>
        <v/>
      </c>
      <c r="Y12" s="116" t="str">
        <f t="shared" si="4"/>
        <v/>
      </c>
      <c r="Z12" s="116" t="str">
        <f t="shared" si="4"/>
        <v/>
      </c>
      <c r="AA12" s="116" t="str">
        <f t="shared" si="4"/>
        <v/>
      </c>
      <c r="AB12" s="116" t="str">
        <f t="shared" si="4"/>
        <v/>
      </c>
      <c r="AC12" s="116" t="str">
        <f t="shared" si="4"/>
        <v/>
      </c>
      <c r="AD12" s="116" t="str">
        <f t="shared" si="4"/>
        <v/>
      </c>
      <c r="AE12" s="116" t="str">
        <f t="shared" si="4"/>
        <v/>
      </c>
      <c r="AF12" s="116" t="str">
        <f t="shared" si="4"/>
        <v/>
      </c>
      <c r="AG12" s="116" t="str">
        <f t="shared" si="4"/>
        <v/>
      </c>
      <c r="AH12" s="116" t="str">
        <f t="shared" si="4"/>
        <v/>
      </c>
      <c r="AI12" s="116" t="str">
        <f t="shared" si="4"/>
        <v/>
      </c>
      <c r="AJ12" s="116" t="str">
        <f t="shared" si="4"/>
        <v/>
      </c>
      <c r="AK12" s="116" t="str">
        <f t="shared" si="4"/>
        <v/>
      </c>
      <c r="AL12" s="116" t="str">
        <f t="shared" si="4"/>
        <v/>
      </c>
      <c r="AM12" s="116" t="str">
        <f t="shared" si="4"/>
        <v/>
      </c>
      <c r="AN12" s="116" t="str">
        <f t="shared" si="4"/>
        <v/>
      </c>
      <c r="AO12" s="116" t="str">
        <f t="shared" si="4"/>
        <v/>
      </c>
      <c r="AP12" s="116" t="str">
        <f t="shared" si="4"/>
        <v/>
      </c>
      <c r="AQ12" s="116" t="str">
        <f t="shared" si="4"/>
        <v/>
      </c>
      <c r="AR12" s="116" t="str">
        <f t="shared" si="4"/>
        <v/>
      </c>
      <c r="AS12" s="116" t="str">
        <f t="shared" si="4"/>
        <v/>
      </c>
      <c r="AT12" s="116" t="str">
        <f t="shared" si="4"/>
        <v/>
      </c>
      <c r="AU12" s="116" t="str">
        <f t="shared" si="4"/>
        <v/>
      </c>
      <c r="AV12" s="116" t="str">
        <f t="shared" si="4"/>
        <v/>
      </c>
      <c r="AW12" s="116" t="str">
        <f t="shared" si="4"/>
        <v/>
      </c>
      <c r="AX12" s="116" t="str">
        <f t="shared" si="4"/>
        <v/>
      </c>
      <c r="AY12" s="116" t="str">
        <f t="shared" si="4"/>
        <v/>
      </c>
      <c r="AZ12" s="116" t="str">
        <f t="shared" si="4"/>
        <v/>
      </c>
      <c r="BA12" s="116" t="str">
        <f t="shared" si="4"/>
        <v/>
      </c>
      <c r="BB12" s="116" t="str">
        <f t="shared" si="4"/>
        <v/>
      </c>
      <c r="BC12" s="116" t="str">
        <f t="shared" si="4"/>
        <v/>
      </c>
      <c r="BD12" s="116" t="str">
        <f t="shared" si="4"/>
        <v/>
      </c>
      <c r="BE12" s="116" t="str">
        <f t="shared" si="4"/>
        <v/>
      </c>
      <c r="BF12" s="116" t="str">
        <f t="shared" si="4"/>
        <v/>
      </c>
      <c r="BG12" s="116" t="str">
        <f t="shared" si="4"/>
        <v/>
      </c>
      <c r="BH12" s="116" t="str">
        <f t="shared" si="4"/>
        <v/>
      </c>
      <c r="BI12" s="116" t="str">
        <f t="shared" si="4"/>
        <v/>
      </c>
      <c r="BJ12" s="116" t="str">
        <f t="shared" si="4"/>
        <v/>
      </c>
      <c r="BK12" s="116" t="str">
        <f t="shared" si="4"/>
        <v/>
      </c>
      <c r="BL12" s="116" t="str">
        <f t="shared" si="4"/>
        <v/>
      </c>
      <c r="BM12" s="116" t="str">
        <f t="shared" si="4"/>
        <v/>
      </c>
      <c r="BN12" s="81"/>
      <c r="BO12" s="27"/>
      <c r="BP12" s="27"/>
      <c r="BQ12" s="27"/>
    </row>
    <row r="13" ht="39.75" customHeight="1">
      <c r="A13" s="17"/>
      <c r="B13" s="117" t="s">
        <v>44</v>
      </c>
      <c r="C13" s="118" t="s">
        <v>31</v>
      </c>
      <c r="D13" s="118" t="s">
        <v>45</v>
      </c>
      <c r="E13" s="119">
        <v>1.0</v>
      </c>
      <c r="F13" s="120" t="str">
        <f>IFERROR(__xludf.DUMMYFUNCTION("IFERROR(SPARKLINE(E13,{""charttype"",""bar"";""color1"",""green"";""max"",1}),""0%"")"),"")</f>
        <v/>
      </c>
      <c r="G13" s="121">
        <v>46093.0</v>
      </c>
      <c r="H13" s="122">
        <v>3.0</v>
      </c>
      <c r="I13" s="114"/>
      <c r="J13" s="115" t="str">
        <f t="shared" ref="J13:BM13" si="5">IF(AND($C13="Objetivo",J$7&gt;=$G13,J$7&lt;=$G13+$H13-1),2,IF(AND($C13="Marco",J$7&gt;=$G13,J$7&lt;=$G13+$H13-1),1,""))</f>
        <v/>
      </c>
      <c r="K13" s="116" t="str">
        <f t="shared" si="5"/>
        <v/>
      </c>
      <c r="L13" s="116" t="str">
        <f t="shared" si="5"/>
        <v/>
      </c>
      <c r="M13" s="116" t="str">
        <f t="shared" si="5"/>
        <v/>
      </c>
      <c r="N13" s="116" t="str">
        <f t="shared" si="5"/>
        <v/>
      </c>
      <c r="O13" s="116" t="str">
        <f t="shared" si="5"/>
        <v/>
      </c>
      <c r="P13" s="116" t="str">
        <f t="shared" si="5"/>
        <v/>
      </c>
      <c r="Q13" s="116" t="str">
        <f t="shared" si="5"/>
        <v/>
      </c>
      <c r="R13" s="116" t="str">
        <f t="shared" si="5"/>
        <v/>
      </c>
      <c r="S13" s="116" t="str">
        <f t="shared" si="5"/>
        <v/>
      </c>
      <c r="T13" s="116" t="str">
        <f t="shared" si="5"/>
        <v/>
      </c>
      <c r="U13" s="116" t="str">
        <f t="shared" si="5"/>
        <v/>
      </c>
      <c r="V13" s="116" t="str">
        <f t="shared" si="5"/>
        <v/>
      </c>
      <c r="W13" s="116" t="str">
        <f t="shared" si="5"/>
        <v/>
      </c>
      <c r="X13" s="116" t="str">
        <f t="shared" si="5"/>
        <v/>
      </c>
      <c r="Y13" s="116" t="str">
        <f t="shared" si="5"/>
        <v/>
      </c>
      <c r="Z13" s="116" t="str">
        <f t="shared" si="5"/>
        <v/>
      </c>
      <c r="AA13" s="116" t="str">
        <f t="shared" si="5"/>
        <v/>
      </c>
      <c r="AB13" s="116" t="str">
        <f t="shared" si="5"/>
        <v/>
      </c>
      <c r="AC13" s="116" t="str">
        <f t="shared" si="5"/>
        <v/>
      </c>
      <c r="AD13" s="116" t="str">
        <f t="shared" si="5"/>
        <v/>
      </c>
      <c r="AE13" s="116" t="str">
        <f t="shared" si="5"/>
        <v/>
      </c>
      <c r="AF13" s="116" t="str">
        <f t="shared" si="5"/>
        <v/>
      </c>
      <c r="AG13" s="116" t="str">
        <f t="shared" si="5"/>
        <v/>
      </c>
      <c r="AH13" s="116" t="str">
        <f t="shared" si="5"/>
        <v/>
      </c>
      <c r="AI13" s="116" t="str">
        <f t="shared" si="5"/>
        <v/>
      </c>
      <c r="AJ13" s="116" t="str">
        <f t="shared" si="5"/>
        <v/>
      </c>
      <c r="AK13" s="116" t="str">
        <f t="shared" si="5"/>
        <v/>
      </c>
      <c r="AL13" s="116" t="str">
        <f t="shared" si="5"/>
        <v/>
      </c>
      <c r="AM13" s="116" t="str">
        <f t="shared" si="5"/>
        <v/>
      </c>
      <c r="AN13" s="116" t="str">
        <f t="shared" si="5"/>
        <v/>
      </c>
      <c r="AO13" s="116" t="str">
        <f t="shared" si="5"/>
        <v/>
      </c>
      <c r="AP13" s="116" t="str">
        <f t="shared" si="5"/>
        <v/>
      </c>
      <c r="AQ13" s="116" t="str">
        <f t="shared" si="5"/>
        <v/>
      </c>
      <c r="AR13" s="116" t="str">
        <f t="shared" si="5"/>
        <v/>
      </c>
      <c r="AS13" s="116" t="str">
        <f t="shared" si="5"/>
        <v/>
      </c>
      <c r="AT13" s="116" t="str">
        <f t="shared" si="5"/>
        <v/>
      </c>
      <c r="AU13" s="116" t="str">
        <f t="shared" si="5"/>
        <v/>
      </c>
      <c r="AV13" s="116" t="str">
        <f t="shared" si="5"/>
        <v/>
      </c>
      <c r="AW13" s="116" t="str">
        <f t="shared" si="5"/>
        <v/>
      </c>
      <c r="AX13" s="116" t="str">
        <f t="shared" si="5"/>
        <v/>
      </c>
      <c r="AY13" s="116" t="str">
        <f t="shared" si="5"/>
        <v/>
      </c>
      <c r="AZ13" s="116" t="str">
        <f t="shared" si="5"/>
        <v/>
      </c>
      <c r="BA13" s="116" t="str">
        <f t="shared" si="5"/>
        <v/>
      </c>
      <c r="BB13" s="116" t="str">
        <f t="shared" si="5"/>
        <v/>
      </c>
      <c r="BC13" s="116" t="str">
        <f t="shared" si="5"/>
        <v/>
      </c>
      <c r="BD13" s="116" t="str">
        <f t="shared" si="5"/>
        <v/>
      </c>
      <c r="BE13" s="116" t="str">
        <f t="shared" si="5"/>
        <v/>
      </c>
      <c r="BF13" s="116" t="str">
        <f t="shared" si="5"/>
        <v/>
      </c>
      <c r="BG13" s="116" t="str">
        <f t="shared" si="5"/>
        <v/>
      </c>
      <c r="BH13" s="116" t="str">
        <f t="shared" si="5"/>
        <v/>
      </c>
      <c r="BI13" s="116" t="str">
        <f t="shared" si="5"/>
        <v/>
      </c>
      <c r="BJ13" s="116" t="str">
        <f t="shared" si="5"/>
        <v/>
      </c>
      <c r="BK13" s="116" t="str">
        <f t="shared" si="5"/>
        <v/>
      </c>
      <c r="BL13" s="116" t="str">
        <f t="shared" si="5"/>
        <v/>
      </c>
      <c r="BM13" s="116" t="str">
        <f t="shared" si="5"/>
        <v/>
      </c>
      <c r="BN13" s="81"/>
      <c r="BO13" s="27"/>
      <c r="BP13" s="27"/>
      <c r="BQ13" s="27"/>
    </row>
    <row r="14" ht="39.75" customHeight="1">
      <c r="A14" s="15"/>
      <c r="B14" s="117" t="s">
        <v>46</v>
      </c>
      <c r="C14" s="118" t="s">
        <v>33</v>
      </c>
      <c r="D14" s="118" t="s">
        <v>47</v>
      </c>
      <c r="E14" s="119">
        <v>1.0</v>
      </c>
      <c r="F14" s="120" t="str">
        <f>IFERROR(__xludf.DUMMYFUNCTION("IFERROR(SPARKLINE(E14,{""charttype"",""bar"";""color1"",""green"";""max"",1}),""0%"")"),"")</f>
        <v/>
      </c>
      <c r="G14" s="121">
        <v>46092.0</v>
      </c>
      <c r="H14" s="122">
        <v>3.0</v>
      </c>
      <c r="I14" s="114"/>
      <c r="J14" s="115" t="str">
        <f t="shared" ref="J14:BM14" si="6">IF(AND($C14="Objetivo",J$7&gt;=$G14,J$7&lt;=$G14+$H14-1),2,IF(AND($C14="Marco",J$7&gt;=$G14,J$7&lt;=$G14+$H14-1),1,""))</f>
        <v/>
      </c>
      <c r="K14" s="116" t="str">
        <f t="shared" si="6"/>
        <v/>
      </c>
      <c r="L14" s="116" t="str">
        <f t="shared" si="6"/>
        <v/>
      </c>
      <c r="M14" s="116" t="str">
        <f t="shared" si="6"/>
        <v/>
      </c>
      <c r="N14" s="116" t="str">
        <f t="shared" si="6"/>
        <v/>
      </c>
      <c r="O14" s="116" t="str">
        <f t="shared" si="6"/>
        <v/>
      </c>
      <c r="P14" s="116" t="str">
        <f t="shared" si="6"/>
        <v/>
      </c>
      <c r="Q14" s="116" t="str">
        <f t="shared" si="6"/>
        <v/>
      </c>
      <c r="R14" s="116" t="str">
        <f t="shared" si="6"/>
        <v/>
      </c>
      <c r="S14" s="116" t="str">
        <f t="shared" si="6"/>
        <v/>
      </c>
      <c r="T14" s="116" t="str">
        <f t="shared" si="6"/>
        <v/>
      </c>
      <c r="U14" s="116" t="str">
        <f t="shared" si="6"/>
        <v/>
      </c>
      <c r="V14" s="116" t="str">
        <f t="shared" si="6"/>
        <v/>
      </c>
      <c r="W14" s="116" t="str">
        <f t="shared" si="6"/>
        <v/>
      </c>
      <c r="X14" s="116" t="str">
        <f t="shared" si="6"/>
        <v/>
      </c>
      <c r="Y14" s="116" t="str">
        <f t="shared" si="6"/>
        <v/>
      </c>
      <c r="Z14" s="116" t="str">
        <f t="shared" si="6"/>
        <v/>
      </c>
      <c r="AA14" s="116" t="str">
        <f t="shared" si="6"/>
        <v/>
      </c>
      <c r="AB14" s="116" t="str">
        <f t="shared" si="6"/>
        <v/>
      </c>
      <c r="AC14" s="116" t="str">
        <f t="shared" si="6"/>
        <v/>
      </c>
      <c r="AD14" s="116" t="str">
        <f t="shared" si="6"/>
        <v/>
      </c>
      <c r="AE14" s="116" t="str">
        <f t="shared" si="6"/>
        <v/>
      </c>
      <c r="AF14" s="116" t="str">
        <f t="shared" si="6"/>
        <v/>
      </c>
      <c r="AG14" s="116" t="str">
        <f t="shared" si="6"/>
        <v/>
      </c>
      <c r="AH14" s="116" t="str">
        <f t="shared" si="6"/>
        <v/>
      </c>
      <c r="AI14" s="116" t="str">
        <f t="shared" si="6"/>
        <v/>
      </c>
      <c r="AJ14" s="116" t="str">
        <f t="shared" si="6"/>
        <v/>
      </c>
      <c r="AK14" s="116" t="str">
        <f t="shared" si="6"/>
        <v/>
      </c>
      <c r="AL14" s="116" t="str">
        <f t="shared" si="6"/>
        <v/>
      </c>
      <c r="AM14" s="116" t="str">
        <f t="shared" si="6"/>
        <v/>
      </c>
      <c r="AN14" s="116" t="str">
        <f t="shared" si="6"/>
        <v/>
      </c>
      <c r="AO14" s="116" t="str">
        <f t="shared" si="6"/>
        <v/>
      </c>
      <c r="AP14" s="116" t="str">
        <f t="shared" si="6"/>
        <v/>
      </c>
      <c r="AQ14" s="116" t="str">
        <f t="shared" si="6"/>
        <v/>
      </c>
      <c r="AR14" s="116" t="str">
        <f t="shared" si="6"/>
        <v/>
      </c>
      <c r="AS14" s="116" t="str">
        <f t="shared" si="6"/>
        <v/>
      </c>
      <c r="AT14" s="116" t="str">
        <f t="shared" si="6"/>
        <v/>
      </c>
      <c r="AU14" s="116" t="str">
        <f t="shared" si="6"/>
        <v/>
      </c>
      <c r="AV14" s="116" t="str">
        <f t="shared" si="6"/>
        <v/>
      </c>
      <c r="AW14" s="116" t="str">
        <f t="shared" si="6"/>
        <v/>
      </c>
      <c r="AX14" s="116" t="str">
        <f t="shared" si="6"/>
        <v/>
      </c>
      <c r="AY14" s="116" t="str">
        <f t="shared" si="6"/>
        <v/>
      </c>
      <c r="AZ14" s="116" t="str">
        <f t="shared" si="6"/>
        <v/>
      </c>
      <c r="BA14" s="116" t="str">
        <f t="shared" si="6"/>
        <v/>
      </c>
      <c r="BB14" s="116" t="str">
        <f t="shared" si="6"/>
        <v/>
      </c>
      <c r="BC14" s="116" t="str">
        <f t="shared" si="6"/>
        <v/>
      </c>
      <c r="BD14" s="116" t="str">
        <f t="shared" si="6"/>
        <v/>
      </c>
      <c r="BE14" s="116" t="str">
        <f t="shared" si="6"/>
        <v/>
      </c>
      <c r="BF14" s="116" t="str">
        <f t="shared" si="6"/>
        <v/>
      </c>
      <c r="BG14" s="116" t="str">
        <f t="shared" si="6"/>
        <v/>
      </c>
      <c r="BH14" s="116" t="str">
        <f t="shared" si="6"/>
        <v/>
      </c>
      <c r="BI14" s="116" t="str">
        <f t="shared" si="6"/>
        <v/>
      </c>
      <c r="BJ14" s="116" t="str">
        <f t="shared" si="6"/>
        <v/>
      </c>
      <c r="BK14" s="116" t="str">
        <f t="shared" si="6"/>
        <v/>
      </c>
      <c r="BL14" s="116" t="str">
        <f t="shared" si="6"/>
        <v/>
      </c>
      <c r="BM14" s="116" t="str">
        <f t="shared" si="6"/>
        <v/>
      </c>
      <c r="BN14" s="81"/>
      <c r="BO14" s="27"/>
      <c r="BP14" s="27"/>
      <c r="BQ14" s="27"/>
    </row>
    <row r="15" ht="39.75" customHeight="1">
      <c r="A15" s="15"/>
      <c r="B15" s="117" t="s">
        <v>48</v>
      </c>
      <c r="C15" s="118" t="s">
        <v>23</v>
      </c>
      <c r="D15" s="118" t="s">
        <v>49</v>
      </c>
      <c r="E15" s="119">
        <v>1.0</v>
      </c>
      <c r="F15" s="120" t="str">
        <f>IFERROR(__xludf.DUMMYFUNCTION("IFERROR(SPARKLINE(E15,{""charttype"",""bar"";""color1"",""green"";""max"",1}),""0%"")"),"")</f>
        <v/>
      </c>
      <c r="G15" s="121">
        <v>46094.0</v>
      </c>
      <c r="H15" s="122">
        <v>8.0</v>
      </c>
      <c r="I15" s="114"/>
      <c r="J15" s="115" t="str">
        <f t="shared" ref="J15:BM15" si="7">IF(AND($C15="Objetivo",J$7&gt;=$G15,J$7&lt;=$G15+$H15-1),2,IF(AND($C15="Marco",J$7&gt;=$G15,J$7&lt;=$G15+$H15-1),1,""))</f>
        <v/>
      </c>
      <c r="K15" s="116" t="str">
        <f t="shared" si="7"/>
        <v/>
      </c>
      <c r="L15" s="116">
        <f t="shared" si="7"/>
        <v>2</v>
      </c>
      <c r="M15" s="116">
        <f t="shared" si="7"/>
        <v>2</v>
      </c>
      <c r="N15" s="116">
        <f t="shared" si="7"/>
        <v>2</v>
      </c>
      <c r="O15" s="116">
        <f t="shared" si="7"/>
        <v>2</v>
      </c>
      <c r="P15" s="116">
        <f t="shared" si="7"/>
        <v>2</v>
      </c>
      <c r="Q15" s="116">
        <f t="shared" si="7"/>
        <v>2</v>
      </c>
      <c r="R15" s="116">
        <f t="shared" si="7"/>
        <v>2</v>
      </c>
      <c r="S15" s="116">
        <f t="shared" si="7"/>
        <v>2</v>
      </c>
      <c r="T15" s="116" t="str">
        <f t="shared" si="7"/>
        <v/>
      </c>
      <c r="U15" s="116" t="str">
        <f t="shared" si="7"/>
        <v/>
      </c>
      <c r="V15" s="116" t="str">
        <f t="shared" si="7"/>
        <v/>
      </c>
      <c r="W15" s="116" t="str">
        <f t="shared" si="7"/>
        <v/>
      </c>
      <c r="X15" s="116" t="str">
        <f t="shared" si="7"/>
        <v/>
      </c>
      <c r="Y15" s="116" t="str">
        <f t="shared" si="7"/>
        <v/>
      </c>
      <c r="Z15" s="116" t="str">
        <f t="shared" si="7"/>
        <v/>
      </c>
      <c r="AA15" s="116" t="str">
        <f t="shared" si="7"/>
        <v/>
      </c>
      <c r="AB15" s="116" t="str">
        <f t="shared" si="7"/>
        <v/>
      </c>
      <c r="AC15" s="116" t="str">
        <f t="shared" si="7"/>
        <v/>
      </c>
      <c r="AD15" s="116" t="str">
        <f t="shared" si="7"/>
        <v/>
      </c>
      <c r="AE15" s="116" t="str">
        <f t="shared" si="7"/>
        <v/>
      </c>
      <c r="AF15" s="116" t="str">
        <f t="shared" si="7"/>
        <v/>
      </c>
      <c r="AG15" s="116" t="str">
        <f t="shared" si="7"/>
        <v/>
      </c>
      <c r="AH15" s="116" t="str">
        <f t="shared" si="7"/>
        <v/>
      </c>
      <c r="AI15" s="116" t="str">
        <f t="shared" si="7"/>
        <v/>
      </c>
      <c r="AJ15" s="116" t="str">
        <f t="shared" si="7"/>
        <v/>
      </c>
      <c r="AK15" s="116" t="str">
        <f t="shared" si="7"/>
        <v/>
      </c>
      <c r="AL15" s="116" t="str">
        <f t="shared" si="7"/>
        <v/>
      </c>
      <c r="AM15" s="116" t="str">
        <f t="shared" si="7"/>
        <v/>
      </c>
      <c r="AN15" s="116" t="str">
        <f t="shared" si="7"/>
        <v/>
      </c>
      <c r="AO15" s="116" t="str">
        <f t="shared" si="7"/>
        <v/>
      </c>
      <c r="AP15" s="116" t="str">
        <f t="shared" si="7"/>
        <v/>
      </c>
      <c r="AQ15" s="116" t="str">
        <f t="shared" si="7"/>
        <v/>
      </c>
      <c r="AR15" s="116" t="str">
        <f t="shared" si="7"/>
        <v/>
      </c>
      <c r="AS15" s="116" t="str">
        <f t="shared" si="7"/>
        <v/>
      </c>
      <c r="AT15" s="116" t="str">
        <f t="shared" si="7"/>
        <v/>
      </c>
      <c r="AU15" s="116" t="str">
        <f t="shared" si="7"/>
        <v/>
      </c>
      <c r="AV15" s="116" t="str">
        <f t="shared" si="7"/>
        <v/>
      </c>
      <c r="AW15" s="116" t="str">
        <f t="shared" si="7"/>
        <v/>
      </c>
      <c r="AX15" s="116" t="str">
        <f t="shared" si="7"/>
        <v/>
      </c>
      <c r="AY15" s="116" t="str">
        <f t="shared" si="7"/>
        <v/>
      </c>
      <c r="AZ15" s="116" t="str">
        <f t="shared" si="7"/>
        <v/>
      </c>
      <c r="BA15" s="116" t="str">
        <f t="shared" si="7"/>
        <v/>
      </c>
      <c r="BB15" s="116" t="str">
        <f t="shared" si="7"/>
        <v/>
      </c>
      <c r="BC15" s="116" t="str">
        <f t="shared" si="7"/>
        <v/>
      </c>
      <c r="BD15" s="116" t="str">
        <f t="shared" si="7"/>
        <v/>
      </c>
      <c r="BE15" s="116" t="str">
        <f t="shared" si="7"/>
        <v/>
      </c>
      <c r="BF15" s="116" t="str">
        <f t="shared" si="7"/>
        <v/>
      </c>
      <c r="BG15" s="116" t="str">
        <f t="shared" si="7"/>
        <v/>
      </c>
      <c r="BH15" s="116" t="str">
        <f t="shared" si="7"/>
        <v/>
      </c>
      <c r="BI15" s="116" t="str">
        <f t="shared" si="7"/>
        <v/>
      </c>
      <c r="BJ15" s="116" t="str">
        <f t="shared" si="7"/>
        <v/>
      </c>
      <c r="BK15" s="116" t="str">
        <f t="shared" si="7"/>
        <v/>
      </c>
      <c r="BL15" s="116" t="str">
        <f t="shared" si="7"/>
        <v/>
      </c>
      <c r="BM15" s="116" t="str">
        <f t="shared" si="7"/>
        <v/>
      </c>
      <c r="BN15" s="81"/>
      <c r="BO15" s="27"/>
      <c r="BP15" s="27"/>
      <c r="BQ15" s="27"/>
    </row>
    <row r="16" ht="39.75" customHeight="1">
      <c r="A16" s="17"/>
      <c r="B16" s="108" t="s">
        <v>50</v>
      </c>
      <c r="C16" s="109"/>
      <c r="D16" s="109"/>
      <c r="E16" s="110"/>
      <c r="F16" s="111" t="str">
        <f>IFERROR(__xludf.DUMMYFUNCTION("IFERROR(SPARKLINE(E16,{""charttype"",""bar"";""color1"",""green"";""max"",1}),""0%"")"),"0%")</f>
        <v>0%</v>
      </c>
      <c r="G16" s="112"/>
      <c r="H16" s="113">
        <v>10.0</v>
      </c>
      <c r="I16" s="114"/>
      <c r="J16" s="115" t="str">
        <f t="shared" ref="J16:BM16" si="8">IF(AND($C16="Objetivo",J$7&gt;=$G16,J$7&lt;=$G16+$H16-1),2,IF(AND($C16="Marco",J$7&gt;=$G16,J$7&lt;=$G16+$H16-1),1,""))</f>
        <v/>
      </c>
      <c r="K16" s="116" t="str">
        <f t="shared" si="8"/>
        <v/>
      </c>
      <c r="L16" s="116" t="str">
        <f t="shared" si="8"/>
        <v/>
      </c>
      <c r="M16" s="116" t="str">
        <f t="shared" si="8"/>
        <v/>
      </c>
      <c r="N16" s="116" t="str">
        <f t="shared" si="8"/>
        <v/>
      </c>
      <c r="O16" s="116" t="str">
        <f t="shared" si="8"/>
        <v/>
      </c>
      <c r="P16" s="116" t="str">
        <f t="shared" si="8"/>
        <v/>
      </c>
      <c r="Q16" s="116" t="str">
        <f t="shared" si="8"/>
        <v/>
      </c>
      <c r="R16" s="116" t="str">
        <f t="shared" si="8"/>
        <v/>
      </c>
      <c r="S16" s="116" t="str">
        <f t="shared" si="8"/>
        <v/>
      </c>
      <c r="T16" s="116" t="str">
        <f t="shared" si="8"/>
        <v/>
      </c>
      <c r="U16" s="116" t="str">
        <f t="shared" si="8"/>
        <v/>
      </c>
      <c r="V16" s="116" t="str">
        <f t="shared" si="8"/>
        <v/>
      </c>
      <c r="W16" s="116" t="str">
        <f t="shared" si="8"/>
        <v/>
      </c>
      <c r="X16" s="116" t="str">
        <f t="shared" si="8"/>
        <v/>
      </c>
      <c r="Y16" s="116" t="str">
        <f t="shared" si="8"/>
        <v/>
      </c>
      <c r="Z16" s="116" t="str">
        <f t="shared" si="8"/>
        <v/>
      </c>
      <c r="AA16" s="116" t="str">
        <f t="shared" si="8"/>
        <v/>
      </c>
      <c r="AB16" s="116" t="str">
        <f t="shared" si="8"/>
        <v/>
      </c>
      <c r="AC16" s="116" t="str">
        <f t="shared" si="8"/>
        <v/>
      </c>
      <c r="AD16" s="116" t="str">
        <f t="shared" si="8"/>
        <v/>
      </c>
      <c r="AE16" s="116" t="str">
        <f t="shared" si="8"/>
        <v/>
      </c>
      <c r="AF16" s="116" t="str">
        <f t="shared" si="8"/>
        <v/>
      </c>
      <c r="AG16" s="116" t="str">
        <f t="shared" si="8"/>
        <v/>
      </c>
      <c r="AH16" s="116" t="str">
        <f t="shared" si="8"/>
        <v/>
      </c>
      <c r="AI16" s="116" t="str">
        <f t="shared" si="8"/>
        <v/>
      </c>
      <c r="AJ16" s="116" t="str">
        <f t="shared" si="8"/>
        <v/>
      </c>
      <c r="AK16" s="116" t="str">
        <f t="shared" si="8"/>
        <v/>
      </c>
      <c r="AL16" s="116" t="str">
        <f t="shared" si="8"/>
        <v/>
      </c>
      <c r="AM16" s="116" t="str">
        <f t="shared" si="8"/>
        <v/>
      </c>
      <c r="AN16" s="116" t="str">
        <f t="shared" si="8"/>
        <v/>
      </c>
      <c r="AO16" s="116" t="str">
        <f t="shared" si="8"/>
        <v/>
      </c>
      <c r="AP16" s="116" t="str">
        <f t="shared" si="8"/>
        <v/>
      </c>
      <c r="AQ16" s="116" t="str">
        <f t="shared" si="8"/>
        <v/>
      </c>
      <c r="AR16" s="116" t="str">
        <f t="shared" si="8"/>
        <v/>
      </c>
      <c r="AS16" s="116" t="str">
        <f t="shared" si="8"/>
        <v/>
      </c>
      <c r="AT16" s="116" t="str">
        <f t="shared" si="8"/>
        <v/>
      </c>
      <c r="AU16" s="116" t="str">
        <f t="shared" si="8"/>
        <v/>
      </c>
      <c r="AV16" s="116" t="str">
        <f t="shared" si="8"/>
        <v/>
      </c>
      <c r="AW16" s="116" t="str">
        <f t="shared" si="8"/>
        <v/>
      </c>
      <c r="AX16" s="116" t="str">
        <f t="shared" si="8"/>
        <v/>
      </c>
      <c r="AY16" s="116" t="str">
        <f t="shared" si="8"/>
        <v/>
      </c>
      <c r="AZ16" s="116" t="str">
        <f t="shared" si="8"/>
        <v/>
      </c>
      <c r="BA16" s="116" t="str">
        <f t="shared" si="8"/>
        <v/>
      </c>
      <c r="BB16" s="116" t="str">
        <f t="shared" si="8"/>
        <v/>
      </c>
      <c r="BC16" s="116" t="str">
        <f t="shared" si="8"/>
        <v/>
      </c>
      <c r="BD16" s="116" t="str">
        <f t="shared" si="8"/>
        <v/>
      </c>
      <c r="BE16" s="116" t="str">
        <f t="shared" si="8"/>
        <v/>
      </c>
      <c r="BF16" s="116" t="str">
        <f t="shared" si="8"/>
        <v/>
      </c>
      <c r="BG16" s="116" t="str">
        <f t="shared" si="8"/>
        <v/>
      </c>
      <c r="BH16" s="116" t="str">
        <f t="shared" si="8"/>
        <v/>
      </c>
      <c r="BI16" s="116" t="str">
        <f t="shared" si="8"/>
        <v/>
      </c>
      <c r="BJ16" s="116" t="str">
        <f t="shared" si="8"/>
        <v/>
      </c>
      <c r="BK16" s="116" t="str">
        <f t="shared" si="8"/>
        <v/>
      </c>
      <c r="BL16" s="116" t="str">
        <f t="shared" si="8"/>
        <v/>
      </c>
      <c r="BM16" s="116" t="str">
        <f t="shared" si="8"/>
        <v/>
      </c>
      <c r="BN16" s="81"/>
      <c r="BO16" s="27"/>
      <c r="BP16" s="27"/>
      <c r="BQ16" s="27"/>
    </row>
    <row r="17" ht="39.75" customHeight="1">
      <c r="A17" s="17"/>
      <c r="B17" s="123" t="s">
        <v>51</v>
      </c>
      <c r="C17" s="124" t="s">
        <v>33</v>
      </c>
      <c r="D17" s="118" t="s">
        <v>52</v>
      </c>
      <c r="E17" s="119">
        <v>1.0</v>
      </c>
      <c r="F17" s="120" t="str">
        <f>IFERROR(__xludf.DUMMYFUNCTION("IFERROR(SPARKLINE(E17,{""charttype"",""bar"";""color1"",""green"";""max"",1}),""0%"")"),"")</f>
        <v/>
      </c>
      <c r="G17" s="121">
        <v>46090.0</v>
      </c>
      <c r="H17" s="122">
        <v>9.0</v>
      </c>
      <c r="I17" s="114"/>
      <c r="J17" s="115" t="str">
        <f t="shared" ref="J17:BM17" si="9">IF(AND($C17="Objetivo",J$7&gt;=$G17,J$7&lt;=$G17+$H17-1),2,IF(AND($C17="Marco",J$7&gt;=$G17,J$7&lt;=$G17+$H17-1),1,""))</f>
        <v/>
      </c>
      <c r="K17" s="116" t="str">
        <f t="shared" si="9"/>
        <v/>
      </c>
      <c r="L17" s="116" t="str">
        <f t="shared" si="9"/>
        <v/>
      </c>
      <c r="M17" s="116" t="str">
        <f t="shared" si="9"/>
        <v/>
      </c>
      <c r="N17" s="116" t="str">
        <f t="shared" si="9"/>
        <v/>
      </c>
      <c r="O17" s="116" t="str">
        <f t="shared" si="9"/>
        <v/>
      </c>
      <c r="P17" s="116" t="str">
        <f t="shared" si="9"/>
        <v/>
      </c>
      <c r="Q17" s="116" t="str">
        <f t="shared" si="9"/>
        <v/>
      </c>
      <c r="R17" s="116" t="str">
        <f t="shared" si="9"/>
        <v/>
      </c>
      <c r="S17" s="116" t="str">
        <f t="shared" si="9"/>
        <v/>
      </c>
      <c r="T17" s="116" t="str">
        <f t="shared" si="9"/>
        <v/>
      </c>
      <c r="U17" s="116" t="str">
        <f t="shared" si="9"/>
        <v/>
      </c>
      <c r="V17" s="116" t="str">
        <f t="shared" si="9"/>
        <v/>
      </c>
      <c r="W17" s="116" t="str">
        <f t="shared" si="9"/>
        <v/>
      </c>
      <c r="X17" s="116" t="str">
        <f t="shared" si="9"/>
        <v/>
      </c>
      <c r="Y17" s="116" t="str">
        <f t="shared" si="9"/>
        <v/>
      </c>
      <c r="Z17" s="116" t="str">
        <f t="shared" si="9"/>
        <v/>
      </c>
      <c r="AA17" s="116" t="str">
        <f t="shared" si="9"/>
        <v/>
      </c>
      <c r="AB17" s="116" t="str">
        <f t="shared" si="9"/>
        <v/>
      </c>
      <c r="AC17" s="116" t="str">
        <f t="shared" si="9"/>
        <v/>
      </c>
      <c r="AD17" s="116" t="str">
        <f t="shared" si="9"/>
        <v/>
      </c>
      <c r="AE17" s="116" t="str">
        <f t="shared" si="9"/>
        <v/>
      </c>
      <c r="AF17" s="116" t="str">
        <f t="shared" si="9"/>
        <v/>
      </c>
      <c r="AG17" s="116" t="str">
        <f t="shared" si="9"/>
        <v/>
      </c>
      <c r="AH17" s="116" t="str">
        <f t="shared" si="9"/>
        <v/>
      </c>
      <c r="AI17" s="116" t="str">
        <f t="shared" si="9"/>
        <v/>
      </c>
      <c r="AJ17" s="116" t="str">
        <f t="shared" si="9"/>
        <v/>
      </c>
      <c r="AK17" s="116" t="str">
        <f t="shared" si="9"/>
        <v/>
      </c>
      <c r="AL17" s="116" t="str">
        <f t="shared" si="9"/>
        <v/>
      </c>
      <c r="AM17" s="116" t="str">
        <f t="shared" si="9"/>
        <v/>
      </c>
      <c r="AN17" s="116" t="str">
        <f t="shared" si="9"/>
        <v/>
      </c>
      <c r="AO17" s="116" t="str">
        <f t="shared" si="9"/>
        <v/>
      </c>
      <c r="AP17" s="116" t="str">
        <f t="shared" si="9"/>
        <v/>
      </c>
      <c r="AQ17" s="116" t="str">
        <f t="shared" si="9"/>
        <v/>
      </c>
      <c r="AR17" s="116" t="str">
        <f t="shared" si="9"/>
        <v/>
      </c>
      <c r="AS17" s="116" t="str">
        <f t="shared" si="9"/>
        <v/>
      </c>
      <c r="AT17" s="116" t="str">
        <f t="shared" si="9"/>
        <v/>
      </c>
      <c r="AU17" s="116" t="str">
        <f t="shared" si="9"/>
        <v/>
      </c>
      <c r="AV17" s="116" t="str">
        <f t="shared" si="9"/>
        <v/>
      </c>
      <c r="AW17" s="116" t="str">
        <f t="shared" si="9"/>
        <v/>
      </c>
      <c r="AX17" s="116" t="str">
        <f t="shared" si="9"/>
        <v/>
      </c>
      <c r="AY17" s="116" t="str">
        <f t="shared" si="9"/>
        <v/>
      </c>
      <c r="AZ17" s="116" t="str">
        <f t="shared" si="9"/>
        <v/>
      </c>
      <c r="BA17" s="116" t="str">
        <f t="shared" si="9"/>
        <v/>
      </c>
      <c r="BB17" s="116" t="str">
        <f t="shared" si="9"/>
        <v/>
      </c>
      <c r="BC17" s="116" t="str">
        <f t="shared" si="9"/>
        <v/>
      </c>
      <c r="BD17" s="116" t="str">
        <f t="shared" si="9"/>
        <v/>
      </c>
      <c r="BE17" s="116" t="str">
        <f t="shared" si="9"/>
        <v/>
      </c>
      <c r="BF17" s="116" t="str">
        <f t="shared" si="9"/>
        <v/>
      </c>
      <c r="BG17" s="116" t="str">
        <f t="shared" si="9"/>
        <v/>
      </c>
      <c r="BH17" s="116" t="str">
        <f t="shared" si="9"/>
        <v/>
      </c>
      <c r="BI17" s="116" t="str">
        <f t="shared" si="9"/>
        <v/>
      </c>
      <c r="BJ17" s="116" t="str">
        <f t="shared" si="9"/>
        <v/>
      </c>
      <c r="BK17" s="116" t="str">
        <f t="shared" si="9"/>
        <v/>
      </c>
      <c r="BL17" s="116" t="str">
        <f t="shared" si="9"/>
        <v/>
      </c>
      <c r="BM17" s="116" t="str">
        <f t="shared" si="9"/>
        <v/>
      </c>
      <c r="BN17" s="81"/>
      <c r="BO17" s="27"/>
      <c r="BP17" s="27"/>
      <c r="BQ17" s="27"/>
    </row>
    <row r="18" ht="39.75" customHeight="1">
      <c r="A18" s="15"/>
      <c r="B18" s="117" t="s">
        <v>53</v>
      </c>
      <c r="C18" s="124" t="s">
        <v>34</v>
      </c>
      <c r="D18" s="118" t="s">
        <v>52</v>
      </c>
      <c r="E18" s="119">
        <v>1.0</v>
      </c>
      <c r="F18" s="120" t="str">
        <f>IFERROR(__xludf.DUMMYFUNCTION("IFERROR(SPARKLINE(E18,{""charttype"",""bar"";""color1"",""green"";""max"",1}),""0%"")"),"")</f>
        <v/>
      </c>
      <c r="G18" s="121">
        <v>46092.0</v>
      </c>
      <c r="H18" s="122">
        <v>5.0</v>
      </c>
      <c r="I18" s="114"/>
      <c r="J18" s="115" t="str">
        <f t="shared" ref="J18:BM18" si="10">IF(AND($C18="Objetivo",J$7&gt;=$G18,J$7&lt;=$G18+$H18-1),2,IF(AND($C18="Marco",J$7&gt;=$G18,J$7&lt;=$G18+$H18-1),1,""))</f>
        <v/>
      </c>
      <c r="K18" s="116" t="str">
        <f t="shared" si="10"/>
        <v/>
      </c>
      <c r="L18" s="116" t="str">
        <f t="shared" si="10"/>
        <v/>
      </c>
      <c r="M18" s="116" t="str">
        <f t="shared" si="10"/>
        <v/>
      </c>
      <c r="N18" s="116" t="str">
        <f t="shared" si="10"/>
        <v/>
      </c>
      <c r="O18" s="116" t="str">
        <f t="shared" si="10"/>
        <v/>
      </c>
      <c r="P18" s="116" t="str">
        <f t="shared" si="10"/>
        <v/>
      </c>
      <c r="Q18" s="116" t="str">
        <f t="shared" si="10"/>
        <v/>
      </c>
      <c r="R18" s="116" t="str">
        <f t="shared" si="10"/>
        <v/>
      </c>
      <c r="S18" s="116" t="str">
        <f t="shared" si="10"/>
        <v/>
      </c>
      <c r="T18" s="116" t="str">
        <f t="shared" si="10"/>
        <v/>
      </c>
      <c r="U18" s="116" t="str">
        <f t="shared" si="10"/>
        <v/>
      </c>
      <c r="V18" s="116" t="str">
        <f t="shared" si="10"/>
        <v/>
      </c>
      <c r="W18" s="116" t="str">
        <f t="shared" si="10"/>
        <v/>
      </c>
      <c r="X18" s="116" t="str">
        <f t="shared" si="10"/>
        <v/>
      </c>
      <c r="Y18" s="116" t="str">
        <f t="shared" si="10"/>
        <v/>
      </c>
      <c r="Z18" s="116" t="str">
        <f t="shared" si="10"/>
        <v/>
      </c>
      <c r="AA18" s="116" t="str">
        <f t="shared" si="10"/>
        <v/>
      </c>
      <c r="AB18" s="116" t="str">
        <f t="shared" si="10"/>
        <v/>
      </c>
      <c r="AC18" s="116" t="str">
        <f t="shared" si="10"/>
        <v/>
      </c>
      <c r="AD18" s="116" t="str">
        <f t="shared" si="10"/>
        <v/>
      </c>
      <c r="AE18" s="116" t="str">
        <f t="shared" si="10"/>
        <v/>
      </c>
      <c r="AF18" s="116" t="str">
        <f t="shared" si="10"/>
        <v/>
      </c>
      <c r="AG18" s="116" t="str">
        <f t="shared" si="10"/>
        <v/>
      </c>
      <c r="AH18" s="116" t="str">
        <f t="shared" si="10"/>
        <v/>
      </c>
      <c r="AI18" s="116" t="str">
        <f t="shared" si="10"/>
        <v/>
      </c>
      <c r="AJ18" s="116" t="str">
        <f t="shared" si="10"/>
        <v/>
      </c>
      <c r="AK18" s="116" t="str">
        <f t="shared" si="10"/>
        <v/>
      </c>
      <c r="AL18" s="116" t="str">
        <f t="shared" si="10"/>
        <v/>
      </c>
      <c r="AM18" s="116" t="str">
        <f t="shared" si="10"/>
        <v/>
      </c>
      <c r="AN18" s="116" t="str">
        <f t="shared" si="10"/>
        <v/>
      </c>
      <c r="AO18" s="116" t="str">
        <f t="shared" si="10"/>
        <v/>
      </c>
      <c r="AP18" s="116" t="str">
        <f t="shared" si="10"/>
        <v/>
      </c>
      <c r="AQ18" s="116" t="str">
        <f t="shared" si="10"/>
        <v/>
      </c>
      <c r="AR18" s="116" t="str">
        <f t="shared" si="10"/>
        <v/>
      </c>
      <c r="AS18" s="116" t="str">
        <f t="shared" si="10"/>
        <v/>
      </c>
      <c r="AT18" s="116" t="str">
        <f t="shared" si="10"/>
        <v/>
      </c>
      <c r="AU18" s="116" t="str">
        <f t="shared" si="10"/>
        <v/>
      </c>
      <c r="AV18" s="116" t="str">
        <f t="shared" si="10"/>
        <v/>
      </c>
      <c r="AW18" s="116" t="str">
        <f t="shared" si="10"/>
        <v/>
      </c>
      <c r="AX18" s="116" t="str">
        <f t="shared" si="10"/>
        <v/>
      </c>
      <c r="AY18" s="116" t="str">
        <f t="shared" si="10"/>
        <v/>
      </c>
      <c r="AZ18" s="116" t="str">
        <f t="shared" si="10"/>
        <v/>
      </c>
      <c r="BA18" s="116" t="str">
        <f t="shared" si="10"/>
        <v/>
      </c>
      <c r="BB18" s="116" t="str">
        <f t="shared" si="10"/>
        <v/>
      </c>
      <c r="BC18" s="116" t="str">
        <f t="shared" si="10"/>
        <v/>
      </c>
      <c r="BD18" s="116" t="str">
        <f t="shared" si="10"/>
        <v/>
      </c>
      <c r="BE18" s="116" t="str">
        <f t="shared" si="10"/>
        <v/>
      </c>
      <c r="BF18" s="116" t="str">
        <f t="shared" si="10"/>
        <v/>
      </c>
      <c r="BG18" s="116" t="str">
        <f t="shared" si="10"/>
        <v/>
      </c>
      <c r="BH18" s="116" t="str">
        <f t="shared" si="10"/>
        <v/>
      </c>
      <c r="BI18" s="116" t="str">
        <f t="shared" si="10"/>
        <v/>
      </c>
      <c r="BJ18" s="116" t="str">
        <f t="shared" si="10"/>
        <v/>
      </c>
      <c r="BK18" s="116" t="str">
        <f t="shared" si="10"/>
        <v/>
      </c>
      <c r="BL18" s="116" t="str">
        <f t="shared" si="10"/>
        <v/>
      </c>
      <c r="BM18" s="116" t="str">
        <f t="shared" si="10"/>
        <v/>
      </c>
      <c r="BN18" s="81"/>
      <c r="BO18" s="27"/>
      <c r="BP18" s="27"/>
      <c r="BQ18" s="27"/>
    </row>
    <row r="19" ht="39.75" customHeight="1">
      <c r="A19" s="15"/>
      <c r="B19" s="117" t="s">
        <v>54</v>
      </c>
      <c r="C19" s="124" t="s">
        <v>28</v>
      </c>
      <c r="D19" s="118" t="s">
        <v>52</v>
      </c>
      <c r="E19" s="119">
        <v>1.0</v>
      </c>
      <c r="F19" s="120" t="str">
        <f>IFERROR(__xludf.DUMMYFUNCTION("IFERROR(SPARKLINE(E19,{""charttype"",""bar"";""color1"",""green"";""max"",1}),""0%"")"),"")</f>
        <v/>
      </c>
      <c r="G19" s="121">
        <v>46094.0</v>
      </c>
      <c r="H19" s="122">
        <v>5.0</v>
      </c>
      <c r="I19" s="114"/>
      <c r="J19" s="115" t="str">
        <f t="shared" ref="J19:BM19" si="11">IF(AND($C19="Objetivo",J$7&gt;=$G19,J$7&lt;=$G19+$H19-1),2,IF(AND($C19="Marco",J$7&gt;=$G19,J$7&lt;=$G19+$H19-1),1,""))</f>
        <v/>
      </c>
      <c r="K19" s="116" t="str">
        <f t="shared" si="11"/>
        <v/>
      </c>
      <c r="L19" s="116" t="str">
        <f t="shared" si="11"/>
        <v/>
      </c>
      <c r="M19" s="116" t="str">
        <f t="shared" si="11"/>
        <v/>
      </c>
      <c r="N19" s="116" t="str">
        <f t="shared" si="11"/>
        <v/>
      </c>
      <c r="O19" s="116" t="str">
        <f t="shared" si="11"/>
        <v/>
      </c>
      <c r="P19" s="116" t="str">
        <f t="shared" si="11"/>
        <v/>
      </c>
      <c r="Q19" s="116" t="str">
        <f t="shared" si="11"/>
        <v/>
      </c>
      <c r="R19" s="116" t="str">
        <f t="shared" si="11"/>
        <v/>
      </c>
      <c r="S19" s="116" t="str">
        <f t="shared" si="11"/>
        <v/>
      </c>
      <c r="T19" s="116" t="str">
        <f t="shared" si="11"/>
        <v/>
      </c>
      <c r="U19" s="116" t="str">
        <f t="shared" si="11"/>
        <v/>
      </c>
      <c r="V19" s="116" t="str">
        <f t="shared" si="11"/>
        <v/>
      </c>
      <c r="W19" s="116" t="str">
        <f t="shared" si="11"/>
        <v/>
      </c>
      <c r="X19" s="116" t="str">
        <f t="shared" si="11"/>
        <v/>
      </c>
      <c r="Y19" s="116" t="str">
        <f t="shared" si="11"/>
        <v/>
      </c>
      <c r="Z19" s="116" t="str">
        <f t="shared" si="11"/>
        <v/>
      </c>
      <c r="AA19" s="116" t="str">
        <f t="shared" si="11"/>
        <v/>
      </c>
      <c r="AB19" s="116" t="str">
        <f t="shared" si="11"/>
        <v/>
      </c>
      <c r="AC19" s="116" t="str">
        <f t="shared" si="11"/>
        <v/>
      </c>
      <c r="AD19" s="116" t="str">
        <f t="shared" si="11"/>
        <v/>
      </c>
      <c r="AE19" s="116" t="str">
        <f t="shared" si="11"/>
        <v/>
      </c>
      <c r="AF19" s="116" t="str">
        <f t="shared" si="11"/>
        <v/>
      </c>
      <c r="AG19" s="116" t="str">
        <f t="shared" si="11"/>
        <v/>
      </c>
      <c r="AH19" s="116" t="str">
        <f t="shared" si="11"/>
        <v/>
      </c>
      <c r="AI19" s="116" t="str">
        <f t="shared" si="11"/>
        <v/>
      </c>
      <c r="AJ19" s="116" t="str">
        <f t="shared" si="11"/>
        <v/>
      </c>
      <c r="AK19" s="116" t="str">
        <f t="shared" si="11"/>
        <v/>
      </c>
      <c r="AL19" s="116" t="str">
        <f t="shared" si="11"/>
        <v/>
      </c>
      <c r="AM19" s="116" t="str">
        <f t="shared" si="11"/>
        <v/>
      </c>
      <c r="AN19" s="116" t="str">
        <f t="shared" si="11"/>
        <v/>
      </c>
      <c r="AO19" s="116" t="str">
        <f t="shared" si="11"/>
        <v/>
      </c>
      <c r="AP19" s="116" t="str">
        <f t="shared" si="11"/>
        <v/>
      </c>
      <c r="AQ19" s="116" t="str">
        <f t="shared" si="11"/>
        <v/>
      </c>
      <c r="AR19" s="116" t="str">
        <f t="shared" si="11"/>
        <v/>
      </c>
      <c r="AS19" s="116" t="str">
        <f t="shared" si="11"/>
        <v/>
      </c>
      <c r="AT19" s="116" t="str">
        <f t="shared" si="11"/>
        <v/>
      </c>
      <c r="AU19" s="116" t="str">
        <f t="shared" si="11"/>
        <v/>
      </c>
      <c r="AV19" s="116" t="str">
        <f t="shared" si="11"/>
        <v/>
      </c>
      <c r="AW19" s="116" t="str">
        <f t="shared" si="11"/>
        <v/>
      </c>
      <c r="AX19" s="116" t="str">
        <f t="shared" si="11"/>
        <v/>
      </c>
      <c r="AY19" s="116" t="str">
        <f t="shared" si="11"/>
        <v/>
      </c>
      <c r="AZ19" s="116" t="str">
        <f t="shared" si="11"/>
        <v/>
      </c>
      <c r="BA19" s="116" t="str">
        <f t="shared" si="11"/>
        <v/>
      </c>
      <c r="BB19" s="116" t="str">
        <f t="shared" si="11"/>
        <v/>
      </c>
      <c r="BC19" s="116" t="str">
        <f t="shared" si="11"/>
        <v/>
      </c>
      <c r="BD19" s="116" t="str">
        <f t="shared" si="11"/>
        <v/>
      </c>
      <c r="BE19" s="116" t="str">
        <f t="shared" si="11"/>
        <v/>
      </c>
      <c r="BF19" s="116" t="str">
        <f t="shared" si="11"/>
        <v/>
      </c>
      <c r="BG19" s="116" t="str">
        <f t="shared" si="11"/>
        <v/>
      </c>
      <c r="BH19" s="116" t="str">
        <f t="shared" si="11"/>
        <v/>
      </c>
      <c r="BI19" s="116" t="str">
        <f t="shared" si="11"/>
        <v/>
      </c>
      <c r="BJ19" s="116" t="str">
        <f t="shared" si="11"/>
        <v/>
      </c>
      <c r="BK19" s="116" t="str">
        <f t="shared" si="11"/>
        <v/>
      </c>
      <c r="BL19" s="116" t="str">
        <f t="shared" si="11"/>
        <v/>
      </c>
      <c r="BM19" s="116" t="str">
        <f t="shared" si="11"/>
        <v/>
      </c>
      <c r="BN19" s="81"/>
      <c r="BO19" s="27"/>
      <c r="BP19" s="27"/>
      <c r="BQ19" s="27"/>
    </row>
    <row r="20" ht="39.75" customHeight="1">
      <c r="A20" s="15"/>
      <c r="B20" s="117" t="s">
        <v>55</v>
      </c>
      <c r="C20" s="124" t="s">
        <v>26</v>
      </c>
      <c r="D20" s="118" t="s">
        <v>52</v>
      </c>
      <c r="E20" s="119">
        <v>1.0</v>
      </c>
      <c r="F20" s="120" t="str">
        <f>IFERROR(__xludf.DUMMYFUNCTION("IFERROR(SPARKLINE(E20,{""charttype"",""bar"";""color1"",""green"";""max"",1}),""0%"")"),"")</f>
        <v/>
      </c>
      <c r="G20" s="121">
        <v>46100.0</v>
      </c>
      <c r="H20" s="122">
        <v>5.0</v>
      </c>
      <c r="I20" s="114"/>
      <c r="J20" s="115" t="str">
        <f t="shared" ref="J20:BM20" si="12">IF(AND($C20="Objetivo",J$7&gt;=$G20,J$7&lt;=$G20+$H20-1),2,IF(AND($C20="Marco",J$7&gt;=$G20,J$7&lt;=$G20+$H20-1),1,""))</f>
        <v/>
      </c>
      <c r="K20" s="116" t="str">
        <f t="shared" si="12"/>
        <v/>
      </c>
      <c r="L20" s="116" t="str">
        <f t="shared" si="12"/>
        <v/>
      </c>
      <c r="M20" s="116" t="str">
        <f t="shared" si="12"/>
        <v/>
      </c>
      <c r="N20" s="116" t="str">
        <f t="shared" si="12"/>
        <v/>
      </c>
      <c r="O20" s="116" t="str">
        <f t="shared" si="12"/>
        <v/>
      </c>
      <c r="P20" s="116" t="str">
        <f t="shared" si="12"/>
        <v/>
      </c>
      <c r="Q20" s="116" t="str">
        <f t="shared" si="12"/>
        <v/>
      </c>
      <c r="R20" s="116">
        <f t="shared" si="12"/>
        <v>1</v>
      </c>
      <c r="S20" s="116">
        <f t="shared" si="12"/>
        <v>1</v>
      </c>
      <c r="T20" s="116">
        <f t="shared" si="12"/>
        <v>1</v>
      </c>
      <c r="U20" s="116">
        <f t="shared" si="12"/>
        <v>1</v>
      </c>
      <c r="V20" s="116">
        <f t="shared" si="12"/>
        <v>1</v>
      </c>
      <c r="W20" s="116" t="str">
        <f t="shared" si="12"/>
        <v/>
      </c>
      <c r="X20" s="116" t="str">
        <f t="shared" si="12"/>
        <v/>
      </c>
      <c r="Y20" s="116" t="str">
        <f t="shared" si="12"/>
        <v/>
      </c>
      <c r="Z20" s="116" t="str">
        <f t="shared" si="12"/>
        <v/>
      </c>
      <c r="AA20" s="116" t="str">
        <f t="shared" si="12"/>
        <v/>
      </c>
      <c r="AB20" s="116" t="str">
        <f t="shared" si="12"/>
        <v/>
      </c>
      <c r="AC20" s="116" t="str">
        <f t="shared" si="12"/>
        <v/>
      </c>
      <c r="AD20" s="116" t="str">
        <f t="shared" si="12"/>
        <v/>
      </c>
      <c r="AE20" s="116" t="str">
        <f t="shared" si="12"/>
        <v/>
      </c>
      <c r="AF20" s="116" t="str">
        <f t="shared" si="12"/>
        <v/>
      </c>
      <c r="AG20" s="116" t="str">
        <f t="shared" si="12"/>
        <v/>
      </c>
      <c r="AH20" s="116" t="str">
        <f t="shared" si="12"/>
        <v/>
      </c>
      <c r="AI20" s="116" t="str">
        <f t="shared" si="12"/>
        <v/>
      </c>
      <c r="AJ20" s="116" t="str">
        <f t="shared" si="12"/>
        <v/>
      </c>
      <c r="AK20" s="116" t="str">
        <f t="shared" si="12"/>
        <v/>
      </c>
      <c r="AL20" s="116" t="str">
        <f t="shared" si="12"/>
        <v/>
      </c>
      <c r="AM20" s="116" t="str">
        <f t="shared" si="12"/>
        <v/>
      </c>
      <c r="AN20" s="116" t="str">
        <f t="shared" si="12"/>
        <v/>
      </c>
      <c r="AO20" s="116" t="str">
        <f t="shared" si="12"/>
        <v/>
      </c>
      <c r="AP20" s="116" t="str">
        <f t="shared" si="12"/>
        <v/>
      </c>
      <c r="AQ20" s="116" t="str">
        <f t="shared" si="12"/>
        <v/>
      </c>
      <c r="AR20" s="116" t="str">
        <f t="shared" si="12"/>
        <v/>
      </c>
      <c r="AS20" s="116" t="str">
        <f t="shared" si="12"/>
        <v/>
      </c>
      <c r="AT20" s="116" t="str">
        <f t="shared" si="12"/>
        <v/>
      </c>
      <c r="AU20" s="116" t="str">
        <f t="shared" si="12"/>
        <v/>
      </c>
      <c r="AV20" s="116" t="str">
        <f t="shared" si="12"/>
        <v/>
      </c>
      <c r="AW20" s="116" t="str">
        <f t="shared" si="12"/>
        <v/>
      </c>
      <c r="AX20" s="116" t="str">
        <f t="shared" si="12"/>
        <v/>
      </c>
      <c r="AY20" s="116" t="str">
        <f t="shared" si="12"/>
        <v/>
      </c>
      <c r="AZ20" s="116" t="str">
        <f t="shared" si="12"/>
        <v/>
      </c>
      <c r="BA20" s="116" t="str">
        <f t="shared" si="12"/>
        <v/>
      </c>
      <c r="BB20" s="116" t="str">
        <f t="shared" si="12"/>
        <v/>
      </c>
      <c r="BC20" s="116" t="str">
        <f t="shared" si="12"/>
        <v/>
      </c>
      <c r="BD20" s="116" t="str">
        <f t="shared" si="12"/>
        <v/>
      </c>
      <c r="BE20" s="116" t="str">
        <f t="shared" si="12"/>
        <v/>
      </c>
      <c r="BF20" s="116" t="str">
        <f t="shared" si="12"/>
        <v/>
      </c>
      <c r="BG20" s="116" t="str">
        <f t="shared" si="12"/>
        <v/>
      </c>
      <c r="BH20" s="116" t="str">
        <f t="shared" si="12"/>
        <v/>
      </c>
      <c r="BI20" s="116" t="str">
        <f t="shared" si="12"/>
        <v/>
      </c>
      <c r="BJ20" s="116" t="str">
        <f t="shared" si="12"/>
        <v/>
      </c>
      <c r="BK20" s="116" t="str">
        <f t="shared" si="12"/>
        <v/>
      </c>
      <c r="BL20" s="116" t="str">
        <f t="shared" si="12"/>
        <v/>
      </c>
      <c r="BM20" s="116" t="str">
        <f t="shared" si="12"/>
        <v/>
      </c>
      <c r="BN20" s="81"/>
      <c r="BO20" s="27"/>
      <c r="BP20" s="27"/>
      <c r="BQ20" s="27"/>
    </row>
    <row r="21" ht="39.75" customHeight="1">
      <c r="A21" s="15"/>
      <c r="B21" s="123" t="s">
        <v>56</v>
      </c>
      <c r="C21" s="118" t="s">
        <v>23</v>
      </c>
      <c r="D21" s="118"/>
      <c r="E21" s="119">
        <v>0.0</v>
      </c>
      <c r="F21" s="120" t="str">
        <f>IFERROR(__xludf.DUMMYFUNCTION("IFERROR(SPARKLINE(E21,{""charttype"",""bar"";""color1"",""green"";""max"",1}),""0%"")"),"")</f>
        <v/>
      </c>
      <c r="G21" s="125"/>
      <c r="H21" s="122">
        <v>9.0</v>
      </c>
      <c r="I21" s="114"/>
      <c r="J21" s="115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81"/>
      <c r="BO21" s="27"/>
      <c r="BP21" s="27"/>
      <c r="BQ21" s="27"/>
    </row>
    <row r="22" ht="39.75" customHeight="1">
      <c r="A22" s="126"/>
      <c r="B22" s="117" t="s">
        <v>57</v>
      </c>
      <c r="C22" s="118" t="s">
        <v>23</v>
      </c>
      <c r="D22" s="118" t="s">
        <v>52</v>
      </c>
      <c r="E22" s="119">
        <v>1.0</v>
      </c>
      <c r="F22" s="120" t="str">
        <f>IFERROR(__xludf.DUMMYFUNCTION("IFERROR(SPARKLINE(E22,{""charttype"",""bar"";""color1"",""green"";""max"",1}),""0%"")"),"")</f>
        <v/>
      </c>
      <c r="G22" s="121">
        <v>46092.0</v>
      </c>
      <c r="H22" s="122">
        <v>5.0</v>
      </c>
      <c r="I22" s="114"/>
      <c r="J22" s="115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81"/>
      <c r="BO22" s="27"/>
      <c r="BP22" s="27"/>
      <c r="BQ22" s="27"/>
    </row>
    <row r="23" ht="39.75" customHeight="1">
      <c r="A23" s="126" t="s">
        <v>58</v>
      </c>
      <c r="B23" s="117" t="s">
        <v>59</v>
      </c>
      <c r="C23" s="118" t="s">
        <v>23</v>
      </c>
      <c r="D23" s="118" t="s">
        <v>52</v>
      </c>
      <c r="E23" s="119">
        <v>1.0</v>
      </c>
      <c r="F23" s="120" t="str">
        <f>IFERROR(__xludf.DUMMYFUNCTION("IFERROR(SPARKLINE(E23,{""charttype"",""bar"";""color1"",""green"";""max"",1}),""0%"")"),"")</f>
        <v/>
      </c>
      <c r="G23" s="121">
        <v>46094.0</v>
      </c>
      <c r="H23" s="122">
        <v>5.0</v>
      </c>
      <c r="I23" s="114"/>
      <c r="J23" s="115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81"/>
      <c r="BO23" s="27"/>
      <c r="BP23" s="27"/>
      <c r="BQ23" s="27"/>
    </row>
    <row r="24" ht="39.75" customHeight="1">
      <c r="A24" s="126" t="s">
        <v>60</v>
      </c>
      <c r="B24" s="117" t="s">
        <v>61</v>
      </c>
      <c r="C24" s="118" t="s">
        <v>23</v>
      </c>
      <c r="D24" s="118" t="s">
        <v>52</v>
      </c>
      <c r="E24" s="119">
        <v>1.0</v>
      </c>
      <c r="F24" s="120" t="str">
        <f>IFERROR(__xludf.DUMMYFUNCTION("IFERROR(SPARKLINE(E24,{""charttype"",""bar"";""color1"",""green"";""max"",1}),""0%"")"),"")</f>
        <v/>
      </c>
      <c r="G24" s="121">
        <v>46091.0</v>
      </c>
      <c r="H24" s="122">
        <v>5.0</v>
      </c>
      <c r="I24" s="114"/>
      <c r="J24" s="115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81"/>
      <c r="BO24" s="27"/>
      <c r="BP24" s="27"/>
      <c r="BQ24" s="27"/>
    </row>
    <row r="25" ht="39.75" customHeight="1">
      <c r="A25" s="126"/>
      <c r="B25" s="123" t="s">
        <v>62</v>
      </c>
      <c r="C25" s="118" t="s">
        <v>23</v>
      </c>
      <c r="D25" s="118"/>
      <c r="E25" s="119">
        <v>0.0</v>
      </c>
      <c r="F25" s="120" t="str">
        <f>IFERROR(__xludf.DUMMYFUNCTION("IFERROR(SPARKLINE(E25,{""charttype"",""bar"";""color1"",""green"";""max"",1}),""0%"")"),"")</f>
        <v/>
      </c>
      <c r="G25" s="121">
        <v>46097.0</v>
      </c>
      <c r="H25" s="122">
        <v>9.0</v>
      </c>
      <c r="I25" s="114"/>
      <c r="J25" s="115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81"/>
      <c r="BO25" s="27"/>
      <c r="BP25" s="27"/>
      <c r="BQ25" s="27"/>
    </row>
    <row r="26" ht="39.75" customHeight="1">
      <c r="A26" s="126"/>
      <c r="B26" s="117" t="s">
        <v>63</v>
      </c>
      <c r="C26" s="118" t="s">
        <v>23</v>
      </c>
      <c r="D26" s="118" t="s">
        <v>52</v>
      </c>
      <c r="E26" s="119">
        <v>1.0</v>
      </c>
      <c r="F26" s="120" t="str">
        <f>IFERROR(__xludf.DUMMYFUNCTION("IFERROR(SPARKLINE(E26,{""charttype"",""bar"";""color1"",""green"";""max"",1}),""0%"")"),"")</f>
        <v/>
      </c>
      <c r="G26" s="121">
        <v>46099.0</v>
      </c>
      <c r="H26" s="122">
        <v>5.0</v>
      </c>
      <c r="I26" s="114"/>
      <c r="J26" s="115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81"/>
      <c r="BO26" s="27"/>
      <c r="BP26" s="27"/>
      <c r="BQ26" s="27"/>
    </row>
    <row r="27" ht="39.75" customHeight="1">
      <c r="A27" s="126"/>
      <c r="B27" s="117" t="s">
        <v>64</v>
      </c>
      <c r="C27" s="118" t="s">
        <v>23</v>
      </c>
      <c r="D27" s="118" t="s">
        <v>52</v>
      </c>
      <c r="E27" s="119">
        <v>1.0</v>
      </c>
      <c r="F27" s="120" t="str">
        <f>IFERROR(__xludf.DUMMYFUNCTION("IFERROR(SPARKLINE(E27,{""charttype"",""bar"";""color1"",""green"";""max"",1}),""0%"")"),"")</f>
        <v/>
      </c>
      <c r="G27" s="121">
        <v>46099.0</v>
      </c>
      <c r="H27" s="122">
        <v>5.0</v>
      </c>
      <c r="I27" s="114"/>
      <c r="J27" s="115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81"/>
      <c r="BO27" s="27"/>
      <c r="BP27" s="27"/>
      <c r="BQ27" s="27"/>
    </row>
    <row r="28" ht="39.75" customHeight="1">
      <c r="A28" s="126"/>
      <c r="B28" s="117" t="s">
        <v>65</v>
      </c>
      <c r="C28" s="118" t="s">
        <v>23</v>
      </c>
      <c r="D28" s="118" t="s">
        <v>52</v>
      </c>
      <c r="E28" s="119">
        <v>1.0</v>
      </c>
      <c r="F28" s="120" t="str">
        <f>IFERROR(__xludf.DUMMYFUNCTION("IFERROR(SPARKLINE(E28,{""charttype"",""bar"";""color1"",""green"";""max"",1}),""0%"")"),"")</f>
        <v/>
      </c>
      <c r="G28" s="121">
        <v>46099.0</v>
      </c>
      <c r="H28" s="122">
        <v>5.0</v>
      </c>
      <c r="I28" s="114"/>
      <c r="J28" s="115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81"/>
      <c r="BO28" s="27"/>
      <c r="BP28" s="27"/>
      <c r="BQ28" s="27"/>
    </row>
    <row r="29" ht="39.75" customHeight="1">
      <c r="A29" s="15"/>
      <c r="B29" s="108" t="s">
        <v>66</v>
      </c>
      <c r="C29" s="109"/>
      <c r="D29" s="109"/>
      <c r="E29" s="110"/>
      <c r="F29" s="111" t="str">
        <f>IFERROR(__xludf.DUMMYFUNCTION("IFERROR(SPARKLINE(E29,{""charttype"",""bar"";""color1"",""green"";""max"",1}),""0%"")"),"0%")</f>
        <v>0%</v>
      </c>
      <c r="G29" s="112"/>
      <c r="H29" s="113">
        <v>10.0</v>
      </c>
      <c r="I29" s="114"/>
      <c r="J29" s="115" t="str">
        <f t="shared" ref="J29:BM29" si="13">IF(AND($C29="Objetivo",J$7&gt;=$G29,J$7&lt;=$G29+$H29-1),2,IF(AND($C29="Marco",J$7&gt;=$G29,J$7&lt;=$G29+$H29-1),1,""))</f>
        <v/>
      </c>
      <c r="K29" s="116" t="str">
        <f t="shared" si="13"/>
        <v/>
      </c>
      <c r="L29" s="116" t="str">
        <f t="shared" si="13"/>
        <v/>
      </c>
      <c r="M29" s="116" t="str">
        <f t="shared" si="13"/>
        <v/>
      </c>
      <c r="N29" s="116" t="str">
        <f t="shared" si="13"/>
        <v/>
      </c>
      <c r="O29" s="116" t="str">
        <f t="shared" si="13"/>
        <v/>
      </c>
      <c r="P29" s="116" t="str">
        <f t="shared" si="13"/>
        <v/>
      </c>
      <c r="Q29" s="116" t="str">
        <f t="shared" si="13"/>
        <v/>
      </c>
      <c r="R29" s="116" t="str">
        <f t="shared" si="13"/>
        <v/>
      </c>
      <c r="S29" s="116" t="str">
        <f t="shared" si="13"/>
        <v/>
      </c>
      <c r="T29" s="116" t="str">
        <f t="shared" si="13"/>
        <v/>
      </c>
      <c r="U29" s="116" t="str">
        <f t="shared" si="13"/>
        <v/>
      </c>
      <c r="V29" s="116" t="str">
        <f t="shared" si="13"/>
        <v/>
      </c>
      <c r="W29" s="116" t="str">
        <f t="shared" si="13"/>
        <v/>
      </c>
      <c r="X29" s="116" t="str">
        <f t="shared" si="13"/>
        <v/>
      </c>
      <c r="Y29" s="116" t="str">
        <f t="shared" si="13"/>
        <v/>
      </c>
      <c r="Z29" s="116" t="str">
        <f t="shared" si="13"/>
        <v/>
      </c>
      <c r="AA29" s="116" t="str">
        <f t="shared" si="13"/>
        <v/>
      </c>
      <c r="AB29" s="116" t="str">
        <f t="shared" si="13"/>
        <v/>
      </c>
      <c r="AC29" s="116" t="str">
        <f t="shared" si="13"/>
        <v/>
      </c>
      <c r="AD29" s="116" t="str">
        <f t="shared" si="13"/>
        <v/>
      </c>
      <c r="AE29" s="116" t="str">
        <f t="shared" si="13"/>
        <v/>
      </c>
      <c r="AF29" s="116" t="str">
        <f t="shared" si="13"/>
        <v/>
      </c>
      <c r="AG29" s="116" t="str">
        <f t="shared" si="13"/>
        <v/>
      </c>
      <c r="AH29" s="116" t="str">
        <f t="shared" si="13"/>
        <v/>
      </c>
      <c r="AI29" s="116" t="str">
        <f t="shared" si="13"/>
        <v/>
      </c>
      <c r="AJ29" s="116" t="str">
        <f t="shared" si="13"/>
        <v/>
      </c>
      <c r="AK29" s="116" t="str">
        <f t="shared" si="13"/>
        <v/>
      </c>
      <c r="AL29" s="116" t="str">
        <f t="shared" si="13"/>
        <v/>
      </c>
      <c r="AM29" s="116" t="str">
        <f t="shared" si="13"/>
        <v/>
      </c>
      <c r="AN29" s="116" t="str">
        <f t="shared" si="13"/>
        <v/>
      </c>
      <c r="AO29" s="116" t="str">
        <f t="shared" si="13"/>
        <v/>
      </c>
      <c r="AP29" s="116" t="str">
        <f t="shared" si="13"/>
        <v/>
      </c>
      <c r="AQ29" s="116" t="str">
        <f t="shared" si="13"/>
        <v/>
      </c>
      <c r="AR29" s="116" t="str">
        <f t="shared" si="13"/>
        <v/>
      </c>
      <c r="AS29" s="116" t="str">
        <f t="shared" si="13"/>
        <v/>
      </c>
      <c r="AT29" s="116" t="str">
        <f t="shared" si="13"/>
        <v/>
      </c>
      <c r="AU29" s="116" t="str">
        <f t="shared" si="13"/>
        <v/>
      </c>
      <c r="AV29" s="116" t="str">
        <f t="shared" si="13"/>
        <v/>
      </c>
      <c r="AW29" s="116" t="str">
        <f t="shared" si="13"/>
        <v/>
      </c>
      <c r="AX29" s="116" t="str">
        <f t="shared" si="13"/>
        <v/>
      </c>
      <c r="AY29" s="116" t="str">
        <f t="shared" si="13"/>
        <v/>
      </c>
      <c r="AZ29" s="116" t="str">
        <f t="shared" si="13"/>
        <v/>
      </c>
      <c r="BA29" s="116" t="str">
        <f t="shared" si="13"/>
        <v/>
      </c>
      <c r="BB29" s="116" t="str">
        <f t="shared" si="13"/>
        <v/>
      </c>
      <c r="BC29" s="116" t="str">
        <f t="shared" si="13"/>
        <v/>
      </c>
      <c r="BD29" s="116" t="str">
        <f t="shared" si="13"/>
        <v/>
      </c>
      <c r="BE29" s="116" t="str">
        <f t="shared" si="13"/>
        <v/>
      </c>
      <c r="BF29" s="116" t="str">
        <f t="shared" si="13"/>
        <v/>
      </c>
      <c r="BG29" s="116" t="str">
        <f t="shared" si="13"/>
        <v/>
      </c>
      <c r="BH29" s="116" t="str">
        <f t="shared" si="13"/>
        <v/>
      </c>
      <c r="BI29" s="116" t="str">
        <f t="shared" si="13"/>
        <v/>
      </c>
      <c r="BJ29" s="116" t="str">
        <f t="shared" si="13"/>
        <v/>
      </c>
      <c r="BK29" s="116" t="str">
        <f t="shared" si="13"/>
        <v/>
      </c>
      <c r="BL29" s="116" t="str">
        <f t="shared" si="13"/>
        <v/>
      </c>
      <c r="BM29" s="116" t="str">
        <f t="shared" si="13"/>
        <v/>
      </c>
      <c r="BN29" s="81"/>
      <c r="BO29" s="27"/>
      <c r="BP29" s="27"/>
      <c r="BQ29" s="27"/>
    </row>
    <row r="30" ht="39.75" customHeight="1">
      <c r="A30" s="15"/>
      <c r="B30" s="117" t="s">
        <v>67</v>
      </c>
      <c r="C30" s="118" t="s">
        <v>31</v>
      </c>
      <c r="D30" s="118" t="s">
        <v>52</v>
      </c>
      <c r="E30" s="119">
        <v>1.0</v>
      </c>
      <c r="F30" s="120" t="str">
        <f>IFERROR(__xludf.DUMMYFUNCTION("IFERROR(SPARKLINE(E30,{""charttype"",""bar"";""color1"",""green"";""max"",1}),""0%"")"),"")</f>
        <v/>
      </c>
      <c r="G30" s="121">
        <v>46101.0</v>
      </c>
      <c r="H30" s="122">
        <v>7.0</v>
      </c>
      <c r="I30" s="114"/>
      <c r="J30" s="115" t="str">
        <f t="shared" ref="J30:BM30" si="14">IF(AND($C30="Objetivo",J$7&gt;=$G30,J$7&lt;=$G30+$H30-1),2,IF(AND($C30="Marco",J$7&gt;=$G30,J$7&lt;=$G30+$H30-1),1,""))</f>
        <v/>
      </c>
      <c r="K30" s="116" t="str">
        <f t="shared" si="14"/>
        <v/>
      </c>
      <c r="L30" s="116" t="str">
        <f t="shared" si="14"/>
        <v/>
      </c>
      <c r="M30" s="116" t="str">
        <f t="shared" si="14"/>
        <v/>
      </c>
      <c r="N30" s="116" t="str">
        <f t="shared" si="14"/>
        <v/>
      </c>
      <c r="O30" s="116" t="str">
        <f t="shared" si="14"/>
        <v/>
      </c>
      <c r="P30" s="116" t="str">
        <f t="shared" si="14"/>
        <v/>
      </c>
      <c r="Q30" s="116" t="str">
        <f t="shared" si="14"/>
        <v/>
      </c>
      <c r="R30" s="116" t="str">
        <f t="shared" si="14"/>
        <v/>
      </c>
      <c r="S30" s="116" t="str">
        <f t="shared" si="14"/>
        <v/>
      </c>
      <c r="T30" s="116" t="str">
        <f t="shared" si="14"/>
        <v/>
      </c>
      <c r="U30" s="116" t="str">
        <f t="shared" si="14"/>
        <v/>
      </c>
      <c r="V30" s="116" t="str">
        <f t="shared" si="14"/>
        <v/>
      </c>
      <c r="W30" s="116" t="str">
        <f t="shared" si="14"/>
        <v/>
      </c>
      <c r="X30" s="116" t="str">
        <f t="shared" si="14"/>
        <v/>
      </c>
      <c r="Y30" s="116" t="str">
        <f t="shared" si="14"/>
        <v/>
      </c>
      <c r="Z30" s="116" t="str">
        <f t="shared" si="14"/>
        <v/>
      </c>
      <c r="AA30" s="116" t="str">
        <f t="shared" si="14"/>
        <v/>
      </c>
      <c r="AB30" s="116" t="str">
        <f t="shared" si="14"/>
        <v/>
      </c>
      <c r="AC30" s="116" t="str">
        <f t="shared" si="14"/>
        <v/>
      </c>
      <c r="AD30" s="116" t="str">
        <f t="shared" si="14"/>
        <v/>
      </c>
      <c r="AE30" s="116" t="str">
        <f t="shared" si="14"/>
        <v/>
      </c>
      <c r="AF30" s="116" t="str">
        <f t="shared" si="14"/>
        <v/>
      </c>
      <c r="AG30" s="116" t="str">
        <f t="shared" si="14"/>
        <v/>
      </c>
      <c r="AH30" s="116" t="str">
        <f t="shared" si="14"/>
        <v/>
      </c>
      <c r="AI30" s="116" t="str">
        <f t="shared" si="14"/>
        <v/>
      </c>
      <c r="AJ30" s="116" t="str">
        <f t="shared" si="14"/>
        <v/>
      </c>
      <c r="AK30" s="116" t="str">
        <f t="shared" si="14"/>
        <v/>
      </c>
      <c r="AL30" s="116" t="str">
        <f t="shared" si="14"/>
        <v/>
      </c>
      <c r="AM30" s="116" t="str">
        <f t="shared" si="14"/>
        <v/>
      </c>
      <c r="AN30" s="116" t="str">
        <f t="shared" si="14"/>
        <v/>
      </c>
      <c r="AO30" s="116" t="str">
        <f t="shared" si="14"/>
        <v/>
      </c>
      <c r="AP30" s="116" t="str">
        <f t="shared" si="14"/>
        <v/>
      </c>
      <c r="AQ30" s="116" t="str">
        <f t="shared" si="14"/>
        <v/>
      </c>
      <c r="AR30" s="116" t="str">
        <f t="shared" si="14"/>
        <v/>
      </c>
      <c r="AS30" s="116" t="str">
        <f t="shared" si="14"/>
        <v/>
      </c>
      <c r="AT30" s="116" t="str">
        <f t="shared" si="14"/>
        <v/>
      </c>
      <c r="AU30" s="116" t="str">
        <f t="shared" si="14"/>
        <v/>
      </c>
      <c r="AV30" s="116" t="str">
        <f t="shared" si="14"/>
        <v/>
      </c>
      <c r="AW30" s="116" t="str">
        <f t="shared" si="14"/>
        <v/>
      </c>
      <c r="AX30" s="116" t="str">
        <f t="shared" si="14"/>
        <v/>
      </c>
      <c r="AY30" s="116" t="str">
        <f t="shared" si="14"/>
        <v/>
      </c>
      <c r="AZ30" s="116" t="str">
        <f t="shared" si="14"/>
        <v/>
      </c>
      <c r="BA30" s="116" t="str">
        <f t="shared" si="14"/>
        <v/>
      </c>
      <c r="BB30" s="116" t="str">
        <f t="shared" si="14"/>
        <v/>
      </c>
      <c r="BC30" s="116" t="str">
        <f t="shared" si="14"/>
        <v/>
      </c>
      <c r="BD30" s="116" t="str">
        <f t="shared" si="14"/>
        <v/>
      </c>
      <c r="BE30" s="116" t="str">
        <f t="shared" si="14"/>
        <v/>
      </c>
      <c r="BF30" s="116" t="str">
        <f t="shared" si="14"/>
        <v/>
      </c>
      <c r="BG30" s="116" t="str">
        <f t="shared" si="14"/>
        <v/>
      </c>
      <c r="BH30" s="116" t="str">
        <f t="shared" si="14"/>
        <v/>
      </c>
      <c r="BI30" s="116" t="str">
        <f t="shared" si="14"/>
        <v/>
      </c>
      <c r="BJ30" s="116" t="str">
        <f t="shared" si="14"/>
        <v/>
      </c>
      <c r="BK30" s="116" t="str">
        <f t="shared" si="14"/>
        <v/>
      </c>
      <c r="BL30" s="116" t="str">
        <f t="shared" si="14"/>
        <v/>
      </c>
      <c r="BM30" s="116" t="str">
        <f t="shared" si="14"/>
        <v/>
      </c>
      <c r="BN30" s="81"/>
      <c r="BO30" s="27"/>
      <c r="BP30" s="27"/>
      <c r="BQ30" s="27"/>
    </row>
    <row r="31" ht="39.75" customHeight="1">
      <c r="A31" s="15"/>
      <c r="B31" s="117" t="s">
        <v>68</v>
      </c>
      <c r="C31" s="124" t="s">
        <v>31</v>
      </c>
      <c r="D31" s="118" t="s">
        <v>52</v>
      </c>
      <c r="E31" s="119">
        <v>1.0</v>
      </c>
      <c r="F31" s="120" t="str">
        <f>IFERROR(__xludf.DUMMYFUNCTION("IFERROR(SPARKLINE(E31,{""charttype"",""bar"";""color1"",""green"";""max"",1}),""0%"")"),"")</f>
        <v/>
      </c>
      <c r="G31" s="121">
        <v>46091.0</v>
      </c>
      <c r="H31" s="122">
        <v>7.0</v>
      </c>
      <c r="I31" s="114"/>
      <c r="J31" s="115" t="str">
        <f t="shared" ref="J31:BM31" si="15">IF(AND($C31="Objetivo",J$7&gt;=$G31,J$7&lt;=$G31+$H31-1),2,IF(AND($C31="Marco",J$7&gt;=$G31,J$7&lt;=$G31+$H31-1),1,""))</f>
        <v/>
      </c>
      <c r="K31" s="116" t="str">
        <f t="shared" si="15"/>
        <v/>
      </c>
      <c r="L31" s="116" t="str">
        <f t="shared" si="15"/>
        <v/>
      </c>
      <c r="M31" s="116" t="str">
        <f t="shared" si="15"/>
        <v/>
      </c>
      <c r="N31" s="116" t="str">
        <f t="shared" si="15"/>
        <v/>
      </c>
      <c r="O31" s="116" t="str">
        <f t="shared" si="15"/>
        <v/>
      </c>
      <c r="P31" s="116" t="str">
        <f t="shared" si="15"/>
        <v/>
      </c>
      <c r="Q31" s="116" t="str">
        <f t="shared" si="15"/>
        <v/>
      </c>
      <c r="R31" s="116" t="str">
        <f t="shared" si="15"/>
        <v/>
      </c>
      <c r="S31" s="116" t="str">
        <f t="shared" si="15"/>
        <v/>
      </c>
      <c r="T31" s="116" t="str">
        <f t="shared" si="15"/>
        <v/>
      </c>
      <c r="U31" s="116" t="str">
        <f t="shared" si="15"/>
        <v/>
      </c>
      <c r="V31" s="116" t="str">
        <f t="shared" si="15"/>
        <v/>
      </c>
      <c r="W31" s="116" t="str">
        <f t="shared" si="15"/>
        <v/>
      </c>
      <c r="X31" s="116" t="str">
        <f t="shared" si="15"/>
        <v/>
      </c>
      <c r="Y31" s="116" t="str">
        <f t="shared" si="15"/>
        <v/>
      </c>
      <c r="Z31" s="116" t="str">
        <f t="shared" si="15"/>
        <v/>
      </c>
      <c r="AA31" s="116" t="str">
        <f t="shared" si="15"/>
        <v/>
      </c>
      <c r="AB31" s="116" t="str">
        <f t="shared" si="15"/>
        <v/>
      </c>
      <c r="AC31" s="116" t="str">
        <f t="shared" si="15"/>
        <v/>
      </c>
      <c r="AD31" s="116" t="str">
        <f t="shared" si="15"/>
        <v/>
      </c>
      <c r="AE31" s="116" t="str">
        <f t="shared" si="15"/>
        <v/>
      </c>
      <c r="AF31" s="116" t="str">
        <f t="shared" si="15"/>
        <v/>
      </c>
      <c r="AG31" s="116" t="str">
        <f t="shared" si="15"/>
        <v/>
      </c>
      <c r="AH31" s="116" t="str">
        <f t="shared" si="15"/>
        <v/>
      </c>
      <c r="AI31" s="116" t="str">
        <f t="shared" si="15"/>
        <v/>
      </c>
      <c r="AJ31" s="116" t="str">
        <f t="shared" si="15"/>
        <v/>
      </c>
      <c r="AK31" s="116" t="str">
        <f t="shared" si="15"/>
        <v/>
      </c>
      <c r="AL31" s="116" t="str">
        <f t="shared" si="15"/>
        <v/>
      </c>
      <c r="AM31" s="116" t="str">
        <f t="shared" si="15"/>
        <v/>
      </c>
      <c r="AN31" s="116" t="str">
        <f t="shared" si="15"/>
        <v/>
      </c>
      <c r="AO31" s="116" t="str">
        <f t="shared" si="15"/>
        <v/>
      </c>
      <c r="AP31" s="116" t="str">
        <f t="shared" si="15"/>
        <v/>
      </c>
      <c r="AQ31" s="116" t="str">
        <f t="shared" si="15"/>
        <v/>
      </c>
      <c r="AR31" s="116" t="str">
        <f t="shared" si="15"/>
        <v/>
      </c>
      <c r="AS31" s="116" t="str">
        <f t="shared" si="15"/>
        <v/>
      </c>
      <c r="AT31" s="116" t="str">
        <f t="shared" si="15"/>
        <v/>
      </c>
      <c r="AU31" s="116" t="str">
        <f t="shared" si="15"/>
        <v/>
      </c>
      <c r="AV31" s="116" t="str">
        <f t="shared" si="15"/>
        <v/>
      </c>
      <c r="AW31" s="116" t="str">
        <f t="shared" si="15"/>
        <v/>
      </c>
      <c r="AX31" s="116" t="str">
        <f t="shared" si="15"/>
        <v/>
      </c>
      <c r="AY31" s="116" t="str">
        <f t="shared" si="15"/>
        <v/>
      </c>
      <c r="AZ31" s="116" t="str">
        <f t="shared" si="15"/>
        <v/>
      </c>
      <c r="BA31" s="116" t="str">
        <f t="shared" si="15"/>
        <v/>
      </c>
      <c r="BB31" s="116" t="str">
        <f t="shared" si="15"/>
        <v/>
      </c>
      <c r="BC31" s="116" t="str">
        <f t="shared" si="15"/>
        <v/>
      </c>
      <c r="BD31" s="116" t="str">
        <f t="shared" si="15"/>
        <v/>
      </c>
      <c r="BE31" s="116" t="str">
        <f t="shared" si="15"/>
        <v/>
      </c>
      <c r="BF31" s="116" t="str">
        <f t="shared" si="15"/>
        <v/>
      </c>
      <c r="BG31" s="116" t="str">
        <f t="shared" si="15"/>
        <v/>
      </c>
      <c r="BH31" s="116" t="str">
        <f t="shared" si="15"/>
        <v/>
      </c>
      <c r="BI31" s="116" t="str">
        <f t="shared" si="15"/>
        <v/>
      </c>
      <c r="BJ31" s="116" t="str">
        <f t="shared" si="15"/>
        <v/>
      </c>
      <c r="BK31" s="116" t="str">
        <f t="shared" si="15"/>
        <v/>
      </c>
      <c r="BL31" s="116" t="str">
        <f t="shared" si="15"/>
        <v/>
      </c>
      <c r="BM31" s="116" t="str">
        <f t="shared" si="15"/>
        <v/>
      </c>
      <c r="BN31" s="81"/>
      <c r="BO31" s="27"/>
      <c r="BP31" s="27"/>
      <c r="BQ31" s="27"/>
    </row>
    <row r="32" ht="39.75" customHeight="1">
      <c r="A32" s="15"/>
      <c r="B32" s="117" t="s">
        <v>69</v>
      </c>
      <c r="C32" s="118" t="s">
        <v>31</v>
      </c>
      <c r="D32" s="118" t="s">
        <v>52</v>
      </c>
      <c r="E32" s="119">
        <v>1.0</v>
      </c>
      <c r="F32" s="120" t="str">
        <f>IFERROR(__xludf.DUMMYFUNCTION("IFERROR(SPARKLINE(E32,{""charttype"",""bar"";""color1"",""green"";""max"",1}),""0%"")"),"")</f>
        <v/>
      </c>
      <c r="G32" s="121">
        <v>46092.0</v>
      </c>
      <c r="H32" s="122">
        <v>7.0</v>
      </c>
      <c r="I32" s="114"/>
      <c r="J32" s="115" t="str">
        <f t="shared" ref="J32:BM32" si="16">IF(AND($C32="Objetivo",J$7&gt;=$G32,J$7&lt;=$G32+$H32-1),2,IF(AND($C32="Marco",J$7&gt;=$G32,J$7&lt;=$G32+$H32-1),1,""))</f>
        <v/>
      </c>
      <c r="K32" s="116" t="str">
        <f t="shared" si="16"/>
        <v/>
      </c>
      <c r="L32" s="116" t="str">
        <f t="shared" si="16"/>
        <v/>
      </c>
      <c r="M32" s="116" t="str">
        <f t="shared" si="16"/>
        <v/>
      </c>
      <c r="N32" s="116" t="str">
        <f t="shared" si="16"/>
        <v/>
      </c>
      <c r="O32" s="116" t="str">
        <f t="shared" si="16"/>
        <v/>
      </c>
      <c r="P32" s="116" t="str">
        <f t="shared" si="16"/>
        <v/>
      </c>
      <c r="Q32" s="116" t="str">
        <f t="shared" si="16"/>
        <v/>
      </c>
      <c r="R32" s="116" t="str">
        <f t="shared" si="16"/>
        <v/>
      </c>
      <c r="S32" s="116" t="str">
        <f t="shared" si="16"/>
        <v/>
      </c>
      <c r="T32" s="116" t="str">
        <f t="shared" si="16"/>
        <v/>
      </c>
      <c r="U32" s="116" t="str">
        <f t="shared" si="16"/>
        <v/>
      </c>
      <c r="V32" s="116" t="str">
        <f t="shared" si="16"/>
        <v/>
      </c>
      <c r="W32" s="116" t="str">
        <f t="shared" si="16"/>
        <v/>
      </c>
      <c r="X32" s="116" t="str">
        <f t="shared" si="16"/>
        <v/>
      </c>
      <c r="Y32" s="116" t="str">
        <f t="shared" si="16"/>
        <v/>
      </c>
      <c r="Z32" s="116" t="str">
        <f t="shared" si="16"/>
        <v/>
      </c>
      <c r="AA32" s="116" t="str">
        <f t="shared" si="16"/>
        <v/>
      </c>
      <c r="AB32" s="116" t="str">
        <f t="shared" si="16"/>
        <v/>
      </c>
      <c r="AC32" s="116" t="str">
        <f t="shared" si="16"/>
        <v/>
      </c>
      <c r="AD32" s="116" t="str">
        <f t="shared" si="16"/>
        <v/>
      </c>
      <c r="AE32" s="116" t="str">
        <f t="shared" si="16"/>
        <v/>
      </c>
      <c r="AF32" s="116" t="str">
        <f t="shared" si="16"/>
        <v/>
      </c>
      <c r="AG32" s="116" t="str">
        <f t="shared" si="16"/>
        <v/>
      </c>
      <c r="AH32" s="116" t="str">
        <f t="shared" si="16"/>
        <v/>
      </c>
      <c r="AI32" s="116" t="str">
        <f t="shared" si="16"/>
        <v/>
      </c>
      <c r="AJ32" s="116" t="str">
        <f t="shared" si="16"/>
        <v/>
      </c>
      <c r="AK32" s="116" t="str">
        <f t="shared" si="16"/>
        <v/>
      </c>
      <c r="AL32" s="116" t="str">
        <f t="shared" si="16"/>
        <v/>
      </c>
      <c r="AM32" s="116" t="str">
        <f t="shared" si="16"/>
        <v/>
      </c>
      <c r="AN32" s="116" t="str">
        <f t="shared" si="16"/>
        <v/>
      </c>
      <c r="AO32" s="116" t="str">
        <f t="shared" si="16"/>
        <v/>
      </c>
      <c r="AP32" s="116" t="str">
        <f t="shared" si="16"/>
        <v/>
      </c>
      <c r="AQ32" s="116" t="str">
        <f t="shared" si="16"/>
        <v/>
      </c>
      <c r="AR32" s="116" t="str">
        <f t="shared" si="16"/>
        <v/>
      </c>
      <c r="AS32" s="116" t="str">
        <f t="shared" si="16"/>
        <v/>
      </c>
      <c r="AT32" s="116" t="str">
        <f t="shared" si="16"/>
        <v/>
      </c>
      <c r="AU32" s="116" t="str">
        <f t="shared" si="16"/>
        <v/>
      </c>
      <c r="AV32" s="116" t="str">
        <f t="shared" si="16"/>
        <v/>
      </c>
      <c r="AW32" s="116" t="str">
        <f t="shared" si="16"/>
        <v/>
      </c>
      <c r="AX32" s="116" t="str">
        <f t="shared" si="16"/>
        <v/>
      </c>
      <c r="AY32" s="116" t="str">
        <f t="shared" si="16"/>
        <v/>
      </c>
      <c r="AZ32" s="116" t="str">
        <f t="shared" si="16"/>
        <v/>
      </c>
      <c r="BA32" s="116" t="str">
        <f t="shared" si="16"/>
        <v/>
      </c>
      <c r="BB32" s="116" t="str">
        <f t="shared" si="16"/>
        <v/>
      </c>
      <c r="BC32" s="116" t="str">
        <f t="shared" si="16"/>
        <v/>
      </c>
      <c r="BD32" s="116" t="str">
        <f t="shared" si="16"/>
        <v/>
      </c>
      <c r="BE32" s="116" t="str">
        <f t="shared" si="16"/>
        <v/>
      </c>
      <c r="BF32" s="116" t="str">
        <f t="shared" si="16"/>
        <v/>
      </c>
      <c r="BG32" s="116" t="str">
        <f t="shared" si="16"/>
        <v/>
      </c>
      <c r="BH32" s="116" t="str">
        <f t="shared" si="16"/>
        <v/>
      </c>
      <c r="BI32" s="116" t="str">
        <f t="shared" si="16"/>
        <v/>
      </c>
      <c r="BJ32" s="116" t="str">
        <f t="shared" si="16"/>
        <v/>
      </c>
      <c r="BK32" s="116" t="str">
        <f t="shared" si="16"/>
        <v/>
      </c>
      <c r="BL32" s="116" t="str">
        <f t="shared" si="16"/>
        <v/>
      </c>
      <c r="BM32" s="116" t="str">
        <f t="shared" si="16"/>
        <v/>
      </c>
      <c r="BN32" s="81"/>
      <c r="BO32" s="27"/>
      <c r="BP32" s="27"/>
      <c r="BQ32" s="27"/>
    </row>
    <row r="33" ht="39.75" customHeight="1">
      <c r="A33" s="15"/>
      <c r="B33" s="117" t="s">
        <v>70</v>
      </c>
      <c r="C33" s="118" t="s">
        <v>34</v>
      </c>
      <c r="D33" s="118" t="s">
        <v>52</v>
      </c>
      <c r="E33" s="119">
        <v>1.0</v>
      </c>
      <c r="F33" s="120" t="str">
        <f>IFERROR(__xludf.DUMMYFUNCTION("IFERROR(SPARKLINE(E33,{""charttype"",""bar"";""color1"",""green"";""max"",1}),""0%"")"),"")</f>
        <v/>
      </c>
      <c r="G33" s="121">
        <v>46100.0</v>
      </c>
      <c r="H33" s="122">
        <v>7.0</v>
      </c>
      <c r="I33" s="114"/>
      <c r="J33" s="115" t="str">
        <f t="shared" ref="J33:BM33" si="17">IF(AND($C33="Objetivo",J$7&gt;=$G33,J$7&lt;=$G33+$H33-1),2,IF(AND($C33="Marco",J$7&gt;=$G33,J$7&lt;=$G33+$H33-1),1,""))</f>
        <v/>
      </c>
      <c r="K33" s="116" t="str">
        <f t="shared" si="17"/>
        <v/>
      </c>
      <c r="L33" s="116" t="str">
        <f t="shared" si="17"/>
        <v/>
      </c>
      <c r="M33" s="116" t="str">
        <f t="shared" si="17"/>
        <v/>
      </c>
      <c r="N33" s="116" t="str">
        <f t="shared" si="17"/>
        <v/>
      </c>
      <c r="O33" s="116" t="str">
        <f t="shared" si="17"/>
        <v/>
      </c>
      <c r="P33" s="116" t="str">
        <f t="shared" si="17"/>
        <v/>
      </c>
      <c r="Q33" s="116" t="str">
        <f t="shared" si="17"/>
        <v/>
      </c>
      <c r="R33" s="116" t="str">
        <f t="shared" si="17"/>
        <v/>
      </c>
      <c r="S33" s="116" t="str">
        <f t="shared" si="17"/>
        <v/>
      </c>
      <c r="T33" s="116" t="str">
        <f t="shared" si="17"/>
        <v/>
      </c>
      <c r="U33" s="116" t="str">
        <f t="shared" si="17"/>
        <v/>
      </c>
      <c r="V33" s="116" t="str">
        <f t="shared" si="17"/>
        <v/>
      </c>
      <c r="W33" s="116" t="str">
        <f t="shared" si="17"/>
        <v/>
      </c>
      <c r="X33" s="116" t="str">
        <f t="shared" si="17"/>
        <v/>
      </c>
      <c r="Y33" s="116" t="str">
        <f t="shared" si="17"/>
        <v/>
      </c>
      <c r="Z33" s="116" t="str">
        <f t="shared" si="17"/>
        <v/>
      </c>
      <c r="AA33" s="116" t="str">
        <f t="shared" si="17"/>
        <v/>
      </c>
      <c r="AB33" s="116" t="str">
        <f t="shared" si="17"/>
        <v/>
      </c>
      <c r="AC33" s="116" t="str">
        <f t="shared" si="17"/>
        <v/>
      </c>
      <c r="AD33" s="116" t="str">
        <f t="shared" si="17"/>
        <v/>
      </c>
      <c r="AE33" s="116" t="str">
        <f t="shared" si="17"/>
        <v/>
      </c>
      <c r="AF33" s="116" t="str">
        <f t="shared" si="17"/>
        <v/>
      </c>
      <c r="AG33" s="116" t="str">
        <f t="shared" si="17"/>
        <v/>
      </c>
      <c r="AH33" s="116" t="str">
        <f t="shared" si="17"/>
        <v/>
      </c>
      <c r="AI33" s="116" t="str">
        <f t="shared" si="17"/>
        <v/>
      </c>
      <c r="AJ33" s="116" t="str">
        <f t="shared" si="17"/>
        <v/>
      </c>
      <c r="AK33" s="116" t="str">
        <f t="shared" si="17"/>
        <v/>
      </c>
      <c r="AL33" s="116" t="str">
        <f t="shared" si="17"/>
        <v/>
      </c>
      <c r="AM33" s="116" t="str">
        <f t="shared" si="17"/>
        <v/>
      </c>
      <c r="AN33" s="116" t="str">
        <f t="shared" si="17"/>
        <v/>
      </c>
      <c r="AO33" s="116" t="str">
        <f t="shared" si="17"/>
        <v/>
      </c>
      <c r="AP33" s="116" t="str">
        <f t="shared" si="17"/>
        <v/>
      </c>
      <c r="AQ33" s="116" t="str">
        <f t="shared" si="17"/>
        <v/>
      </c>
      <c r="AR33" s="116" t="str">
        <f t="shared" si="17"/>
        <v/>
      </c>
      <c r="AS33" s="116" t="str">
        <f t="shared" si="17"/>
        <v/>
      </c>
      <c r="AT33" s="116" t="str">
        <f t="shared" si="17"/>
        <v/>
      </c>
      <c r="AU33" s="116" t="str">
        <f t="shared" si="17"/>
        <v/>
      </c>
      <c r="AV33" s="116" t="str">
        <f t="shared" si="17"/>
        <v/>
      </c>
      <c r="AW33" s="116" t="str">
        <f t="shared" si="17"/>
        <v/>
      </c>
      <c r="AX33" s="116" t="str">
        <f t="shared" si="17"/>
        <v/>
      </c>
      <c r="AY33" s="116" t="str">
        <f t="shared" si="17"/>
        <v/>
      </c>
      <c r="AZ33" s="116" t="str">
        <f t="shared" si="17"/>
        <v/>
      </c>
      <c r="BA33" s="116" t="str">
        <f t="shared" si="17"/>
        <v/>
      </c>
      <c r="BB33" s="116" t="str">
        <f t="shared" si="17"/>
        <v/>
      </c>
      <c r="BC33" s="116" t="str">
        <f t="shared" si="17"/>
        <v/>
      </c>
      <c r="BD33" s="116" t="str">
        <f t="shared" si="17"/>
        <v/>
      </c>
      <c r="BE33" s="116" t="str">
        <f t="shared" si="17"/>
        <v/>
      </c>
      <c r="BF33" s="116" t="str">
        <f t="shared" si="17"/>
        <v/>
      </c>
      <c r="BG33" s="116" t="str">
        <f t="shared" si="17"/>
        <v/>
      </c>
      <c r="BH33" s="116" t="str">
        <f t="shared" si="17"/>
        <v/>
      </c>
      <c r="BI33" s="116" t="str">
        <f t="shared" si="17"/>
        <v/>
      </c>
      <c r="BJ33" s="116" t="str">
        <f t="shared" si="17"/>
        <v/>
      </c>
      <c r="BK33" s="116" t="str">
        <f t="shared" si="17"/>
        <v/>
      </c>
      <c r="BL33" s="116" t="str">
        <f t="shared" si="17"/>
        <v/>
      </c>
      <c r="BM33" s="116" t="str">
        <f t="shared" si="17"/>
        <v/>
      </c>
      <c r="BN33" s="81"/>
      <c r="BO33" s="27"/>
      <c r="BP33" s="27"/>
      <c r="BQ33" s="27"/>
    </row>
    <row r="34" ht="30.0" customHeight="1">
      <c r="A34" s="15"/>
      <c r="G34" s="16"/>
    </row>
    <row r="35" ht="30.0" customHeight="1">
      <c r="A35" s="15"/>
      <c r="G35" s="16"/>
    </row>
    <row r="36" ht="30.0" customHeight="1">
      <c r="A36" s="15"/>
      <c r="G36" s="16"/>
    </row>
    <row r="37" ht="30.0" customHeight="1">
      <c r="A37" s="15"/>
      <c r="G37" s="16"/>
    </row>
    <row r="38" ht="30.0" customHeight="1">
      <c r="A38" s="15"/>
      <c r="G38" s="16"/>
    </row>
    <row r="39" ht="30.0" customHeight="1">
      <c r="A39" s="15"/>
      <c r="G39" s="16"/>
    </row>
    <row r="40" ht="30.0" customHeight="1">
      <c r="A40" s="15"/>
      <c r="G40" s="16"/>
    </row>
    <row r="41" ht="30.0" customHeight="1">
      <c r="A41" s="15"/>
      <c r="G41" s="16"/>
    </row>
    <row r="42" ht="30.0" customHeight="1">
      <c r="A42" s="15"/>
      <c r="G42" s="16"/>
    </row>
    <row r="43" ht="30.0" customHeight="1">
      <c r="A43" s="15"/>
      <c r="G43" s="16"/>
    </row>
    <row r="44" ht="30.0" customHeight="1">
      <c r="A44" s="15"/>
      <c r="G44" s="16"/>
    </row>
    <row r="45" ht="30.0" customHeight="1">
      <c r="A45" s="15"/>
      <c r="G45" s="16"/>
    </row>
    <row r="46" ht="30.0" customHeight="1">
      <c r="A46" s="15"/>
      <c r="G46" s="16"/>
    </row>
    <row r="47" ht="30.0" customHeight="1">
      <c r="A47" s="15"/>
      <c r="G47" s="16"/>
    </row>
    <row r="48" ht="30.0" customHeight="1">
      <c r="A48" s="15"/>
      <c r="G48" s="16"/>
    </row>
    <row r="49" ht="30.0" customHeight="1">
      <c r="A49" s="15"/>
      <c r="G49" s="16"/>
    </row>
    <row r="50" ht="30.0" customHeight="1">
      <c r="A50" s="15"/>
      <c r="G50" s="16"/>
    </row>
    <row r="51" ht="30.0" customHeight="1">
      <c r="A51" s="15"/>
      <c r="G51" s="16"/>
    </row>
    <row r="52" ht="30.0" customHeight="1">
      <c r="A52" s="15"/>
      <c r="G52" s="16"/>
    </row>
    <row r="53" ht="30.0" customHeight="1">
      <c r="A53" s="15"/>
      <c r="G53" s="16"/>
    </row>
    <row r="54" ht="30.0" customHeight="1">
      <c r="A54" s="15"/>
      <c r="G54" s="16"/>
    </row>
    <row r="55" ht="30.0" customHeight="1">
      <c r="A55" s="15"/>
      <c r="G55" s="16"/>
    </row>
    <row r="56" ht="30.0" customHeight="1">
      <c r="A56" s="15"/>
      <c r="G56" s="16"/>
    </row>
    <row r="57" ht="30.0" customHeight="1">
      <c r="A57" s="15"/>
      <c r="G57" s="16"/>
    </row>
    <row r="58" ht="30.0" customHeight="1">
      <c r="A58" s="15"/>
      <c r="G58" s="16"/>
    </row>
    <row r="59" ht="30.0" customHeight="1">
      <c r="A59" s="15"/>
      <c r="G59" s="16"/>
    </row>
    <row r="60" ht="30.0" customHeight="1">
      <c r="A60" s="15"/>
      <c r="G60" s="16"/>
    </row>
    <row r="61" ht="30.0" customHeight="1">
      <c r="A61" s="15"/>
      <c r="G61" s="16"/>
    </row>
    <row r="62" ht="30.0" customHeight="1">
      <c r="A62" s="15"/>
      <c r="G62" s="16"/>
    </row>
    <row r="63" ht="30.0" customHeight="1">
      <c r="A63" s="15"/>
      <c r="G63" s="16"/>
    </row>
    <row r="64" ht="30.0" customHeight="1">
      <c r="A64" s="15"/>
      <c r="G64" s="16"/>
    </row>
    <row r="65" ht="30.0" customHeight="1">
      <c r="A65" s="15"/>
      <c r="G65" s="16"/>
    </row>
    <row r="66" ht="30.0" customHeight="1">
      <c r="A66" s="15"/>
      <c r="G66" s="16"/>
    </row>
    <row r="67" ht="30.0" customHeight="1">
      <c r="A67" s="15"/>
      <c r="G67" s="16"/>
    </row>
    <row r="68" ht="30.0" customHeight="1">
      <c r="A68" s="15"/>
      <c r="G68" s="16"/>
    </row>
    <row r="69" ht="30.0" customHeight="1">
      <c r="A69" s="15"/>
      <c r="G69" s="16"/>
    </row>
    <row r="70" ht="30.0" customHeight="1">
      <c r="A70" s="15"/>
      <c r="G70" s="16"/>
    </row>
    <row r="71" ht="30.0" customHeight="1">
      <c r="A71" s="15"/>
      <c r="G71" s="16"/>
    </row>
    <row r="72" ht="30.0" customHeight="1">
      <c r="A72" s="15"/>
      <c r="G72" s="16"/>
    </row>
    <row r="73" ht="30.0" customHeight="1">
      <c r="A73" s="15"/>
      <c r="G73" s="16"/>
    </row>
    <row r="74" ht="30.0" customHeight="1">
      <c r="A74" s="15"/>
      <c r="G74" s="16"/>
    </row>
    <row r="75" ht="30.0" customHeight="1">
      <c r="A75" s="15"/>
      <c r="G75" s="16"/>
    </row>
    <row r="76" ht="30.0" customHeight="1">
      <c r="A76" s="15"/>
      <c r="G76" s="16"/>
    </row>
    <row r="77" ht="30.0" customHeight="1">
      <c r="A77" s="15"/>
      <c r="G77" s="16"/>
    </row>
    <row r="78" ht="30.0" customHeight="1">
      <c r="A78" s="15"/>
      <c r="G78" s="16"/>
    </row>
    <row r="79" ht="30.0" customHeight="1">
      <c r="A79" s="15"/>
      <c r="G79" s="16"/>
    </row>
    <row r="80" ht="30.0" customHeight="1">
      <c r="A80" s="15"/>
      <c r="G80" s="16"/>
    </row>
    <row r="81" ht="30.0" customHeight="1">
      <c r="A81" s="15"/>
      <c r="G81" s="16"/>
    </row>
    <row r="82" ht="30.0" customHeight="1">
      <c r="A82" s="15"/>
      <c r="G82" s="16"/>
    </row>
    <row r="83" ht="30.0" customHeight="1">
      <c r="A83" s="15"/>
      <c r="G83" s="16"/>
    </row>
    <row r="84" ht="30.0" customHeight="1">
      <c r="A84" s="15"/>
      <c r="G84" s="16"/>
    </row>
    <row r="85" ht="30.0" customHeight="1">
      <c r="A85" s="15"/>
      <c r="G85" s="16"/>
    </row>
    <row r="86" ht="30.0" customHeight="1">
      <c r="A86" s="15"/>
      <c r="G86" s="16"/>
    </row>
    <row r="87" ht="30.0" customHeight="1">
      <c r="A87" s="15"/>
      <c r="G87" s="16"/>
    </row>
    <row r="88" ht="30.0" customHeight="1">
      <c r="A88" s="15"/>
      <c r="G88" s="16"/>
    </row>
    <row r="89" ht="30.0" customHeight="1">
      <c r="A89" s="15"/>
      <c r="G89" s="16"/>
    </row>
    <row r="90" ht="30.0" customHeight="1">
      <c r="A90" s="15"/>
      <c r="G90" s="16"/>
    </row>
    <row r="91" ht="30.0" customHeight="1">
      <c r="A91" s="15"/>
      <c r="G91" s="16"/>
    </row>
    <row r="92" ht="30.0" customHeight="1">
      <c r="A92" s="15"/>
      <c r="G92" s="16"/>
    </row>
    <row r="93" ht="30.0" customHeight="1">
      <c r="A93" s="15"/>
      <c r="G93" s="16"/>
    </row>
    <row r="94" ht="30.0" customHeight="1">
      <c r="A94" s="15"/>
      <c r="G94" s="16"/>
    </row>
    <row r="95" ht="30.0" customHeight="1">
      <c r="A95" s="15"/>
      <c r="G95" s="16"/>
    </row>
    <row r="96" ht="30.0" customHeight="1">
      <c r="A96" s="15"/>
      <c r="G96" s="16"/>
    </row>
    <row r="97" ht="30.0" customHeight="1">
      <c r="A97" s="15"/>
      <c r="G97" s="16"/>
    </row>
    <row r="98" ht="30.0" customHeight="1">
      <c r="A98" s="15"/>
      <c r="G98" s="16"/>
    </row>
    <row r="99" ht="30.0" customHeight="1">
      <c r="A99" s="15"/>
      <c r="G99" s="16"/>
    </row>
    <row r="100" ht="30.0" customHeight="1">
      <c r="A100" s="15"/>
      <c r="G100" s="16"/>
    </row>
    <row r="101" ht="30.0" customHeight="1">
      <c r="A101" s="15"/>
      <c r="G101" s="16"/>
    </row>
    <row r="102" ht="30.0" customHeight="1">
      <c r="A102" s="15"/>
      <c r="G102" s="16"/>
    </row>
    <row r="103" ht="30.0" customHeight="1">
      <c r="A103" s="15"/>
      <c r="G103" s="16"/>
    </row>
    <row r="104" ht="30.0" customHeight="1">
      <c r="A104" s="15"/>
      <c r="G104" s="16"/>
    </row>
    <row r="105" ht="30.0" customHeight="1">
      <c r="A105" s="15"/>
      <c r="G105" s="16"/>
    </row>
    <row r="106" ht="30.0" customHeight="1">
      <c r="A106" s="15"/>
      <c r="G106" s="16"/>
    </row>
    <row r="107" ht="30.0" customHeight="1">
      <c r="A107" s="15"/>
      <c r="G107" s="16"/>
    </row>
    <row r="108" ht="30.0" customHeight="1">
      <c r="A108" s="15"/>
      <c r="G108" s="16"/>
    </row>
    <row r="109" ht="30.0" customHeight="1">
      <c r="A109" s="15"/>
      <c r="G109" s="16"/>
    </row>
    <row r="110" ht="30.0" customHeight="1">
      <c r="A110" s="15"/>
      <c r="G110" s="16"/>
    </row>
    <row r="111" ht="30.0" customHeight="1">
      <c r="A111" s="15"/>
      <c r="G111" s="16"/>
    </row>
    <row r="112" ht="30.0" customHeight="1">
      <c r="A112" s="15"/>
      <c r="G112" s="16"/>
    </row>
    <row r="113" ht="30.0" customHeight="1">
      <c r="A113" s="15"/>
      <c r="G113" s="16"/>
    </row>
    <row r="114" ht="30.0" customHeight="1">
      <c r="A114" s="15"/>
      <c r="G114" s="16"/>
    </row>
    <row r="115" ht="30.0" customHeight="1">
      <c r="A115" s="15"/>
      <c r="G115" s="16"/>
    </row>
    <row r="116" ht="30.0" customHeight="1">
      <c r="A116" s="15"/>
      <c r="G116" s="16"/>
    </row>
    <row r="117" ht="30.0" customHeight="1">
      <c r="A117" s="15"/>
      <c r="G117" s="16"/>
    </row>
    <row r="118" ht="30.0" customHeight="1">
      <c r="A118" s="15"/>
      <c r="G118" s="16"/>
    </row>
    <row r="119" ht="30.0" customHeight="1">
      <c r="A119" s="15"/>
      <c r="G119" s="16"/>
    </row>
    <row r="120" ht="30.0" customHeight="1">
      <c r="A120" s="15"/>
      <c r="G120" s="16"/>
    </row>
    <row r="121" ht="30.0" customHeight="1">
      <c r="A121" s="15"/>
      <c r="G121" s="16"/>
    </row>
    <row r="122" ht="30.0" customHeight="1">
      <c r="A122" s="15"/>
      <c r="G122" s="16"/>
    </row>
    <row r="123" ht="30.0" customHeight="1">
      <c r="A123" s="15"/>
      <c r="G123" s="16"/>
    </row>
    <row r="124" ht="30.0" customHeight="1">
      <c r="A124" s="15"/>
      <c r="G124" s="16"/>
    </row>
    <row r="125" ht="30.0" customHeight="1">
      <c r="A125" s="15"/>
      <c r="G125" s="16"/>
    </row>
    <row r="126" ht="30.0" customHeight="1">
      <c r="A126" s="15"/>
      <c r="G126" s="16"/>
    </row>
    <row r="127" ht="30.0" customHeight="1">
      <c r="A127" s="15"/>
      <c r="G127" s="16"/>
    </row>
    <row r="128" ht="30.0" customHeight="1">
      <c r="A128" s="15"/>
      <c r="G128" s="16"/>
    </row>
    <row r="129" ht="30.0" customHeight="1">
      <c r="A129" s="15"/>
      <c r="G129" s="16"/>
    </row>
    <row r="130" ht="30.0" customHeight="1">
      <c r="A130" s="15"/>
      <c r="G130" s="16"/>
    </row>
    <row r="131" ht="30.0" customHeight="1">
      <c r="A131" s="15"/>
      <c r="G131" s="16"/>
    </row>
    <row r="132" ht="30.0" customHeight="1">
      <c r="A132" s="15"/>
      <c r="G132" s="16"/>
    </row>
    <row r="133" ht="30.0" customHeight="1">
      <c r="A133" s="15"/>
      <c r="G133" s="16"/>
    </row>
    <row r="134" ht="30.0" customHeight="1">
      <c r="A134" s="15"/>
      <c r="G134" s="16"/>
    </row>
    <row r="135" ht="30.0" customHeight="1">
      <c r="A135" s="15"/>
      <c r="G135" s="16"/>
    </row>
    <row r="136" ht="30.0" customHeight="1">
      <c r="A136" s="15"/>
      <c r="G136" s="16"/>
    </row>
    <row r="137" ht="30.0" customHeight="1">
      <c r="A137" s="15"/>
      <c r="G137" s="16"/>
    </row>
    <row r="138" ht="30.0" customHeight="1">
      <c r="A138" s="15"/>
      <c r="G138" s="16"/>
    </row>
    <row r="139" ht="30.0" customHeight="1">
      <c r="A139" s="15"/>
      <c r="G139" s="16"/>
    </row>
    <row r="140" ht="30.0" customHeight="1">
      <c r="A140" s="15"/>
      <c r="G140" s="16"/>
    </row>
    <row r="141" ht="30.0" customHeight="1">
      <c r="A141" s="15"/>
      <c r="G141" s="16"/>
    </row>
    <row r="142" ht="30.0" customHeight="1">
      <c r="A142" s="15"/>
      <c r="G142" s="16"/>
    </row>
    <row r="143" ht="30.0" customHeight="1">
      <c r="A143" s="15"/>
      <c r="G143" s="16"/>
    </row>
    <row r="144" ht="30.0" customHeight="1">
      <c r="A144" s="15"/>
      <c r="G144" s="16"/>
    </row>
    <row r="145" ht="30.0" customHeight="1">
      <c r="A145" s="15"/>
      <c r="G145" s="16"/>
    </row>
    <row r="146" ht="30.0" customHeight="1">
      <c r="A146" s="15"/>
      <c r="G146" s="16"/>
    </row>
    <row r="147" ht="30.0" customHeight="1">
      <c r="A147" s="15"/>
      <c r="G147" s="16"/>
    </row>
    <row r="148" ht="30.0" customHeight="1">
      <c r="A148" s="15"/>
      <c r="G148" s="16"/>
    </row>
    <row r="149" ht="30.0" customHeight="1">
      <c r="A149" s="15"/>
      <c r="G149" s="16"/>
    </row>
    <row r="150" ht="30.0" customHeight="1">
      <c r="A150" s="15"/>
      <c r="G150" s="16"/>
    </row>
    <row r="151" ht="30.0" customHeight="1">
      <c r="A151" s="15"/>
      <c r="G151" s="16"/>
    </row>
    <row r="152" ht="30.0" customHeight="1">
      <c r="A152" s="15"/>
      <c r="G152" s="16"/>
    </row>
    <row r="153" ht="30.0" customHeight="1">
      <c r="A153" s="15"/>
      <c r="G153" s="16"/>
    </row>
    <row r="154" ht="30.0" customHeight="1">
      <c r="A154" s="15"/>
      <c r="G154" s="16"/>
    </row>
    <row r="155" ht="30.0" customHeight="1">
      <c r="A155" s="15"/>
      <c r="G155" s="16"/>
    </row>
    <row r="156" ht="30.0" customHeight="1">
      <c r="A156" s="15"/>
      <c r="G156" s="16"/>
    </row>
    <row r="157" ht="30.0" customHeight="1">
      <c r="A157" s="15"/>
      <c r="G157" s="16"/>
    </row>
    <row r="158" ht="30.0" customHeight="1">
      <c r="A158" s="15"/>
      <c r="G158" s="16"/>
    </row>
    <row r="159" ht="30.0" customHeight="1">
      <c r="A159" s="15"/>
      <c r="G159" s="16"/>
    </row>
    <row r="160" ht="30.0" customHeight="1">
      <c r="A160" s="15"/>
      <c r="G160" s="16"/>
    </row>
    <row r="161" ht="30.0" customHeight="1">
      <c r="A161" s="15"/>
      <c r="G161" s="16"/>
    </row>
    <row r="162" ht="30.0" customHeight="1">
      <c r="A162" s="15"/>
      <c r="G162" s="16"/>
    </row>
    <row r="163" ht="30.0" customHeight="1">
      <c r="A163" s="15"/>
      <c r="G163" s="16"/>
    </row>
    <row r="164" ht="30.0" customHeight="1">
      <c r="A164" s="15"/>
      <c r="G164" s="16"/>
    </row>
    <row r="165" ht="30.0" customHeight="1">
      <c r="A165" s="15"/>
      <c r="G165" s="16"/>
    </row>
    <row r="166" ht="30.0" customHeight="1">
      <c r="A166" s="15"/>
      <c r="G166" s="16"/>
    </row>
    <row r="167" ht="30.0" customHeight="1">
      <c r="A167" s="15"/>
      <c r="G167" s="16"/>
    </row>
    <row r="168" ht="30.0" customHeight="1">
      <c r="A168" s="15"/>
      <c r="G168" s="16"/>
    </row>
    <row r="169" ht="30.0" customHeight="1">
      <c r="A169" s="15"/>
      <c r="G169" s="16"/>
    </row>
    <row r="170" ht="30.0" customHeight="1">
      <c r="A170" s="15"/>
      <c r="G170" s="16"/>
    </row>
    <row r="171" ht="30.0" customHeight="1">
      <c r="A171" s="15"/>
      <c r="G171" s="16"/>
    </row>
    <row r="172" ht="30.0" customHeight="1">
      <c r="A172" s="15"/>
      <c r="G172" s="16"/>
    </row>
    <row r="173" ht="30.0" customHeight="1">
      <c r="A173" s="15"/>
      <c r="G173" s="16"/>
    </row>
    <row r="174" ht="30.0" customHeight="1">
      <c r="A174" s="15"/>
      <c r="G174" s="16"/>
    </row>
    <row r="175" ht="30.0" customHeight="1">
      <c r="A175" s="15"/>
      <c r="G175" s="16"/>
    </row>
    <row r="176" ht="30.0" customHeight="1">
      <c r="A176" s="15"/>
      <c r="G176" s="16"/>
    </row>
    <row r="177" ht="30.0" customHeight="1">
      <c r="A177" s="15"/>
      <c r="G177" s="16"/>
    </row>
    <row r="178" ht="30.0" customHeight="1">
      <c r="A178" s="15"/>
      <c r="G178" s="16"/>
    </row>
    <row r="179" ht="30.0" customHeight="1">
      <c r="A179" s="15"/>
      <c r="G179" s="16"/>
    </row>
    <row r="180" ht="30.0" customHeight="1">
      <c r="A180" s="15"/>
      <c r="G180" s="16"/>
    </row>
    <row r="181" ht="30.0" customHeight="1">
      <c r="A181" s="15"/>
      <c r="G181" s="16"/>
    </row>
    <row r="182" ht="30.0" customHeight="1">
      <c r="A182" s="15"/>
      <c r="G182" s="16"/>
    </row>
    <row r="183" ht="30.0" customHeight="1">
      <c r="A183" s="15"/>
      <c r="G183" s="16"/>
    </row>
    <row r="184" ht="30.0" customHeight="1">
      <c r="A184" s="15"/>
      <c r="G184" s="16"/>
    </row>
    <row r="185" ht="30.0" customHeight="1">
      <c r="A185" s="15"/>
      <c r="G185" s="16"/>
    </row>
    <row r="186" ht="30.0" customHeight="1">
      <c r="A186" s="15"/>
      <c r="G186" s="16"/>
    </row>
    <row r="187" ht="30.0" customHeight="1">
      <c r="A187" s="15"/>
      <c r="G187" s="16"/>
    </row>
    <row r="188" ht="30.0" customHeight="1">
      <c r="A188" s="15"/>
      <c r="G188" s="16"/>
    </row>
    <row r="189" ht="30.0" customHeight="1">
      <c r="A189" s="15"/>
      <c r="G189" s="16"/>
    </row>
    <row r="190" ht="30.0" customHeight="1">
      <c r="A190" s="15"/>
      <c r="G190" s="16"/>
    </row>
    <row r="191" ht="30.0" customHeight="1">
      <c r="A191" s="15"/>
      <c r="G191" s="16"/>
    </row>
    <row r="192" ht="30.0" customHeight="1">
      <c r="A192" s="15"/>
      <c r="G192" s="16"/>
    </row>
    <row r="193" ht="30.0" customHeight="1">
      <c r="A193" s="15"/>
      <c r="G193" s="16"/>
    </row>
    <row r="194" ht="30.0" customHeight="1">
      <c r="A194" s="15"/>
      <c r="G194" s="16"/>
    </row>
    <row r="195" ht="30.0" customHeight="1">
      <c r="A195" s="15"/>
      <c r="G195" s="16"/>
    </row>
    <row r="196" ht="30.0" customHeight="1">
      <c r="A196" s="15"/>
      <c r="G196" s="16"/>
    </row>
    <row r="197" ht="30.0" customHeight="1">
      <c r="A197" s="15"/>
      <c r="G197" s="16"/>
    </row>
    <row r="198" ht="30.0" customHeight="1">
      <c r="A198" s="15"/>
      <c r="G198" s="16"/>
    </row>
    <row r="199" ht="30.0" customHeight="1">
      <c r="A199" s="15"/>
      <c r="G199" s="16"/>
    </row>
    <row r="200" ht="30.0" customHeight="1">
      <c r="A200" s="15"/>
      <c r="G200" s="16"/>
    </row>
    <row r="201" ht="30.0" customHeight="1">
      <c r="A201" s="15"/>
      <c r="G201" s="16"/>
    </row>
    <row r="202" ht="30.0" customHeight="1">
      <c r="A202" s="15"/>
      <c r="G202" s="16"/>
    </row>
    <row r="203" ht="30.0" customHeight="1">
      <c r="A203" s="15"/>
      <c r="G203" s="16"/>
    </row>
    <row r="204" ht="30.0" customHeight="1">
      <c r="A204" s="15"/>
      <c r="G204" s="16"/>
    </row>
    <row r="205" ht="30.0" customHeight="1">
      <c r="A205" s="15"/>
      <c r="G205" s="16"/>
    </row>
    <row r="206" ht="30.0" customHeight="1">
      <c r="A206" s="15"/>
      <c r="G206" s="16"/>
    </row>
    <row r="207" ht="30.0" customHeight="1">
      <c r="A207" s="15"/>
      <c r="G207" s="16"/>
    </row>
    <row r="208" ht="30.0" customHeight="1">
      <c r="A208" s="15"/>
      <c r="G208" s="16"/>
    </row>
    <row r="209" ht="30.0" customHeight="1">
      <c r="A209" s="15"/>
      <c r="G209" s="16"/>
    </row>
    <row r="210" ht="30.0" customHeight="1">
      <c r="A210" s="15"/>
      <c r="G210" s="16"/>
    </row>
    <row r="211" ht="30.0" customHeight="1">
      <c r="A211" s="15"/>
      <c r="G211" s="16"/>
    </row>
    <row r="212" ht="30.0" customHeight="1">
      <c r="A212" s="15"/>
      <c r="G212" s="16"/>
    </row>
    <row r="213" ht="30.0" customHeight="1">
      <c r="A213" s="15"/>
      <c r="G213" s="16"/>
    </row>
    <row r="214" ht="30.0" customHeight="1">
      <c r="A214" s="15"/>
      <c r="G214" s="16"/>
    </row>
    <row r="215" ht="30.0" customHeight="1">
      <c r="A215" s="15"/>
      <c r="G215" s="16"/>
    </row>
    <row r="216" ht="30.0" customHeight="1">
      <c r="A216" s="15"/>
      <c r="G216" s="16"/>
    </row>
    <row r="217" ht="30.0" customHeight="1">
      <c r="A217" s="15"/>
      <c r="G217" s="16"/>
    </row>
    <row r="218" ht="30.0" customHeight="1">
      <c r="A218" s="15"/>
      <c r="G218" s="16"/>
    </row>
    <row r="219" ht="30.0" customHeight="1">
      <c r="A219" s="15"/>
      <c r="G219" s="16"/>
    </row>
    <row r="220" ht="30.0" customHeight="1">
      <c r="A220" s="15"/>
      <c r="G220" s="16"/>
    </row>
    <row r="221" ht="30.0" customHeight="1">
      <c r="A221" s="15"/>
      <c r="G221" s="16"/>
    </row>
    <row r="222" ht="30.0" customHeight="1">
      <c r="A222" s="15"/>
      <c r="G222" s="16"/>
    </row>
    <row r="223" ht="30.0" customHeight="1">
      <c r="A223" s="15"/>
      <c r="G223" s="16"/>
    </row>
    <row r="224" ht="30.0" customHeight="1">
      <c r="A224" s="15"/>
      <c r="G224" s="16"/>
    </row>
    <row r="225" ht="30.0" customHeight="1">
      <c r="A225" s="15"/>
      <c r="G225" s="16"/>
    </row>
    <row r="226" ht="30.0" customHeight="1">
      <c r="A226" s="15"/>
      <c r="G226" s="16"/>
    </row>
    <row r="227" ht="30.0" customHeight="1">
      <c r="A227" s="15"/>
      <c r="G227" s="16"/>
    </row>
    <row r="228" ht="30.0" customHeight="1">
      <c r="A228" s="15"/>
      <c r="G228" s="16"/>
    </row>
    <row r="229" ht="30.0" customHeight="1">
      <c r="A229" s="15"/>
      <c r="G229" s="16"/>
    </row>
    <row r="230" ht="30.0" customHeight="1">
      <c r="A230" s="15"/>
      <c r="G230" s="16"/>
    </row>
    <row r="231" ht="30.0" customHeight="1">
      <c r="A231" s="15"/>
      <c r="G231" s="16"/>
    </row>
    <row r="232" ht="30.0" customHeight="1">
      <c r="A232" s="15"/>
      <c r="G232" s="16"/>
    </row>
    <row r="233" ht="30.0" customHeight="1">
      <c r="A233" s="15"/>
      <c r="G233" s="16"/>
    </row>
    <row r="234" ht="30.0" customHeight="1">
      <c r="A234" s="15"/>
      <c r="G234" s="16"/>
    </row>
    <row r="235" ht="30.0" customHeight="1">
      <c r="A235" s="15"/>
      <c r="G235" s="16"/>
    </row>
    <row r="236" ht="30.0" customHeight="1">
      <c r="A236" s="15"/>
      <c r="G236" s="16"/>
    </row>
    <row r="237" ht="30.0" customHeight="1">
      <c r="A237" s="15"/>
      <c r="G237" s="16"/>
    </row>
    <row r="238" ht="30.0" customHeight="1">
      <c r="A238" s="15"/>
      <c r="G238" s="16"/>
    </row>
    <row r="239" ht="30.0" customHeight="1">
      <c r="A239" s="15"/>
      <c r="G239" s="16"/>
    </row>
    <row r="240" ht="30.0" customHeight="1">
      <c r="A240" s="15"/>
      <c r="G240" s="16"/>
    </row>
    <row r="241" ht="30.0" customHeight="1">
      <c r="A241" s="15"/>
      <c r="G241" s="16"/>
    </row>
    <row r="242" ht="30.0" customHeight="1">
      <c r="A242" s="15"/>
      <c r="G242" s="16"/>
    </row>
    <row r="243" ht="30.0" customHeight="1">
      <c r="A243" s="15"/>
      <c r="G243" s="16"/>
    </row>
    <row r="244" ht="30.0" customHeight="1">
      <c r="A244" s="15"/>
      <c r="G244" s="16"/>
    </row>
    <row r="245" ht="30.0" customHeight="1">
      <c r="A245" s="15"/>
      <c r="G245" s="16"/>
    </row>
    <row r="246" ht="30.0" customHeight="1">
      <c r="A246" s="15"/>
      <c r="G246" s="16"/>
    </row>
    <row r="247" ht="30.0" customHeight="1">
      <c r="A247" s="15"/>
      <c r="G247" s="16"/>
    </row>
    <row r="248" ht="30.0" customHeight="1">
      <c r="A248" s="15"/>
      <c r="G248" s="16"/>
    </row>
    <row r="249" ht="30.0" customHeight="1">
      <c r="A249" s="15"/>
      <c r="G249" s="16"/>
    </row>
    <row r="250" ht="30.0" customHeight="1">
      <c r="A250" s="15"/>
      <c r="G250" s="16"/>
    </row>
    <row r="251" ht="30.0" customHeight="1">
      <c r="A251" s="15"/>
      <c r="G251" s="16"/>
    </row>
    <row r="252" ht="30.0" customHeight="1">
      <c r="A252" s="15"/>
      <c r="G252" s="16"/>
    </row>
    <row r="253" ht="30.0" customHeight="1">
      <c r="A253" s="15"/>
      <c r="G253" s="16"/>
    </row>
    <row r="254" ht="30.0" customHeight="1">
      <c r="A254" s="15"/>
      <c r="G254" s="16"/>
    </row>
    <row r="255" ht="30.0" customHeight="1">
      <c r="A255" s="15"/>
      <c r="G255" s="16"/>
    </row>
    <row r="256" ht="30.0" customHeight="1">
      <c r="A256" s="15"/>
      <c r="G256" s="16"/>
    </row>
    <row r="257" ht="30.0" customHeight="1">
      <c r="A257" s="15"/>
      <c r="G257" s="16"/>
    </row>
    <row r="258" ht="30.0" customHeight="1">
      <c r="A258" s="15"/>
      <c r="G258" s="16"/>
    </row>
    <row r="259" ht="30.0" customHeight="1">
      <c r="A259" s="15"/>
      <c r="G259" s="16"/>
    </row>
    <row r="260" ht="30.0" customHeight="1">
      <c r="A260" s="15"/>
      <c r="G260" s="16"/>
    </row>
    <row r="261" ht="30.0" customHeight="1">
      <c r="A261" s="15"/>
      <c r="G261" s="16"/>
    </row>
    <row r="262" ht="30.0" customHeight="1">
      <c r="A262" s="15"/>
      <c r="G262" s="16"/>
    </row>
    <row r="263" ht="30.0" customHeight="1">
      <c r="A263" s="15"/>
      <c r="G263" s="16"/>
    </row>
    <row r="264" ht="30.0" customHeight="1">
      <c r="A264" s="15"/>
      <c r="G264" s="16"/>
    </row>
    <row r="265" ht="30.0" customHeight="1">
      <c r="A265" s="15"/>
      <c r="G265" s="16"/>
    </row>
    <row r="266" ht="30.0" customHeight="1">
      <c r="A266" s="15"/>
      <c r="G266" s="16"/>
    </row>
    <row r="267" ht="30.0" customHeight="1">
      <c r="A267" s="15"/>
      <c r="G267" s="16"/>
    </row>
    <row r="268" ht="30.0" customHeight="1">
      <c r="A268" s="15"/>
      <c r="G268" s="16"/>
    </row>
    <row r="269" ht="30.0" customHeight="1">
      <c r="A269" s="15"/>
      <c r="G269" s="16"/>
    </row>
    <row r="270" ht="30.0" customHeight="1">
      <c r="A270" s="15"/>
      <c r="G270" s="16"/>
    </row>
    <row r="271" ht="30.0" customHeight="1">
      <c r="A271" s="15"/>
      <c r="G271" s="16"/>
    </row>
    <row r="272" ht="30.0" customHeight="1">
      <c r="A272" s="15"/>
      <c r="G272" s="16"/>
    </row>
    <row r="273" ht="30.0" customHeight="1">
      <c r="A273" s="15"/>
      <c r="G273" s="16"/>
    </row>
    <row r="274" ht="30.0" customHeight="1">
      <c r="A274" s="15"/>
      <c r="G274" s="16"/>
    </row>
    <row r="275" ht="30.0" customHeight="1">
      <c r="A275" s="15"/>
      <c r="G275" s="16"/>
    </row>
    <row r="276" ht="30.0" customHeight="1">
      <c r="A276" s="15"/>
      <c r="G276" s="16"/>
    </row>
    <row r="277" ht="30.0" customHeight="1">
      <c r="A277" s="15"/>
      <c r="G277" s="16"/>
    </row>
    <row r="278" ht="30.0" customHeight="1">
      <c r="A278" s="15"/>
      <c r="G278" s="16"/>
    </row>
    <row r="279" ht="30.0" customHeight="1">
      <c r="A279" s="15"/>
      <c r="G279" s="16"/>
    </row>
    <row r="280" ht="30.0" customHeight="1">
      <c r="A280" s="15"/>
      <c r="G280" s="16"/>
    </row>
    <row r="281" ht="30.0" customHeight="1">
      <c r="A281" s="15"/>
      <c r="G281" s="16"/>
    </row>
    <row r="282" ht="30.0" customHeight="1">
      <c r="A282" s="15"/>
      <c r="G282" s="16"/>
    </row>
    <row r="283" ht="30.0" customHeight="1">
      <c r="A283" s="15"/>
      <c r="G283" s="16"/>
    </row>
    <row r="284" ht="30.0" customHeight="1">
      <c r="A284" s="15"/>
      <c r="G284" s="16"/>
    </row>
    <row r="285" ht="30.0" customHeight="1">
      <c r="A285" s="15"/>
      <c r="G285" s="16"/>
    </row>
    <row r="286" ht="30.0" customHeight="1">
      <c r="A286" s="15"/>
      <c r="G286" s="16"/>
    </row>
    <row r="287" ht="30.0" customHeight="1">
      <c r="A287" s="15"/>
      <c r="G287" s="16"/>
    </row>
    <row r="288" ht="30.0" customHeight="1">
      <c r="A288" s="15"/>
      <c r="G288" s="16"/>
    </row>
    <row r="289" ht="30.0" customHeight="1">
      <c r="A289" s="15"/>
      <c r="G289" s="16"/>
    </row>
    <row r="290" ht="30.0" customHeight="1">
      <c r="A290" s="15"/>
      <c r="G290" s="16"/>
    </row>
    <row r="291" ht="30.0" customHeight="1">
      <c r="A291" s="15"/>
      <c r="G291" s="16"/>
    </row>
    <row r="292" ht="30.0" customHeight="1">
      <c r="A292" s="15"/>
      <c r="G292" s="16"/>
    </row>
    <row r="293" ht="30.0" customHeight="1">
      <c r="A293" s="15"/>
      <c r="G293" s="16"/>
    </row>
    <row r="294" ht="30.0" customHeight="1">
      <c r="A294" s="15"/>
      <c r="G294" s="16"/>
    </row>
    <row r="295" ht="30.0" customHeight="1">
      <c r="A295" s="15"/>
      <c r="G295" s="16"/>
    </row>
    <row r="296" ht="30.0" customHeight="1">
      <c r="A296" s="15"/>
      <c r="G296" s="16"/>
    </row>
    <row r="297" ht="30.0" customHeight="1">
      <c r="A297" s="15"/>
      <c r="G297" s="16"/>
    </row>
    <row r="298" ht="30.0" customHeight="1">
      <c r="A298" s="15"/>
      <c r="G298" s="16"/>
    </row>
    <row r="299" ht="30.0" customHeight="1">
      <c r="A299" s="15"/>
      <c r="G299" s="16"/>
    </row>
    <row r="300" ht="30.0" customHeight="1">
      <c r="A300" s="15"/>
      <c r="G300" s="16"/>
    </row>
    <row r="301" ht="30.0" customHeight="1">
      <c r="A301" s="15"/>
      <c r="G301" s="16"/>
    </row>
    <row r="302" ht="30.0" customHeight="1">
      <c r="A302" s="15"/>
      <c r="G302" s="16"/>
    </row>
    <row r="303" ht="30.0" customHeight="1">
      <c r="A303" s="15"/>
      <c r="G303" s="16"/>
    </row>
    <row r="304" ht="30.0" customHeight="1">
      <c r="A304" s="15"/>
      <c r="G304" s="16"/>
    </row>
    <row r="305" ht="30.0" customHeight="1">
      <c r="A305" s="15"/>
      <c r="G305" s="16"/>
    </row>
    <row r="306" ht="30.0" customHeight="1">
      <c r="A306" s="15"/>
      <c r="G306" s="16"/>
    </row>
    <row r="307" ht="30.0" customHeight="1">
      <c r="A307" s="15"/>
      <c r="G307" s="16"/>
    </row>
    <row r="308" ht="30.0" customHeight="1">
      <c r="A308" s="15"/>
      <c r="G308" s="16"/>
    </row>
    <row r="309" ht="30.0" customHeight="1">
      <c r="A309" s="15"/>
      <c r="G309" s="16"/>
    </row>
    <row r="310" ht="30.0" customHeight="1">
      <c r="A310" s="15"/>
      <c r="G310" s="16"/>
    </row>
    <row r="311" ht="30.0" customHeight="1">
      <c r="A311" s="15"/>
      <c r="G311" s="16"/>
    </row>
    <row r="312" ht="30.0" customHeight="1">
      <c r="A312" s="15"/>
      <c r="G312" s="16"/>
    </row>
    <row r="313" ht="30.0" customHeight="1">
      <c r="A313" s="15"/>
      <c r="G313" s="16"/>
    </row>
    <row r="314" ht="30.0" customHeight="1">
      <c r="A314" s="15"/>
      <c r="G314" s="16"/>
    </row>
    <row r="315" ht="30.0" customHeight="1">
      <c r="A315" s="15"/>
      <c r="G315" s="16"/>
    </row>
    <row r="316" ht="30.0" customHeight="1">
      <c r="A316" s="15"/>
      <c r="G316" s="16"/>
    </row>
    <row r="317" ht="30.0" customHeight="1">
      <c r="A317" s="15"/>
      <c r="G317" s="16"/>
    </row>
    <row r="318" ht="30.0" customHeight="1">
      <c r="A318" s="15"/>
      <c r="G318" s="16"/>
    </row>
    <row r="319" ht="30.0" customHeight="1">
      <c r="A319" s="15"/>
      <c r="G319" s="16"/>
    </row>
    <row r="320" ht="30.0" customHeight="1">
      <c r="A320" s="15"/>
      <c r="G320" s="16"/>
    </row>
    <row r="321" ht="30.0" customHeight="1">
      <c r="A321" s="15"/>
      <c r="G321" s="16"/>
    </row>
    <row r="322" ht="30.0" customHeight="1">
      <c r="A322" s="15"/>
      <c r="G322" s="16"/>
    </row>
    <row r="323" ht="30.0" customHeight="1">
      <c r="A323" s="15"/>
      <c r="G323" s="16"/>
    </row>
    <row r="324" ht="30.0" customHeight="1">
      <c r="A324" s="15"/>
      <c r="G324" s="16"/>
    </row>
    <row r="325" ht="30.0" customHeight="1">
      <c r="A325" s="15"/>
      <c r="G325" s="16"/>
    </row>
    <row r="326" ht="30.0" customHeight="1">
      <c r="A326" s="15"/>
      <c r="G326" s="16"/>
    </row>
    <row r="327" ht="30.0" customHeight="1">
      <c r="A327" s="15"/>
      <c r="G327" s="16"/>
    </row>
    <row r="328" ht="30.0" customHeight="1">
      <c r="A328" s="15"/>
      <c r="G328" s="16"/>
    </row>
    <row r="329" ht="30.0" customHeight="1">
      <c r="A329" s="15"/>
      <c r="G329" s="16"/>
    </row>
    <row r="330" ht="30.0" customHeight="1">
      <c r="A330" s="15"/>
      <c r="G330" s="16"/>
    </row>
    <row r="331" ht="30.0" customHeight="1">
      <c r="A331" s="15"/>
      <c r="G331" s="16"/>
    </row>
    <row r="332" ht="30.0" customHeight="1">
      <c r="A332" s="15"/>
      <c r="G332" s="16"/>
    </row>
    <row r="333" ht="30.0" customHeight="1">
      <c r="A333" s="15"/>
      <c r="G333" s="16"/>
    </row>
    <row r="334" ht="30.0" customHeight="1">
      <c r="A334" s="15"/>
      <c r="G334" s="16"/>
    </row>
    <row r="335" ht="30.0" customHeight="1">
      <c r="A335" s="15"/>
      <c r="G335" s="16"/>
    </row>
    <row r="336" ht="30.0" customHeight="1">
      <c r="A336" s="15"/>
      <c r="G336" s="16"/>
    </row>
    <row r="337" ht="30.0" customHeight="1">
      <c r="A337" s="15"/>
      <c r="G337" s="16"/>
    </row>
    <row r="338" ht="30.0" customHeight="1">
      <c r="A338" s="15"/>
      <c r="G338" s="16"/>
    </row>
    <row r="339" ht="30.0" customHeight="1">
      <c r="A339" s="15"/>
      <c r="G339" s="16"/>
    </row>
    <row r="340" ht="30.0" customHeight="1">
      <c r="A340" s="15"/>
      <c r="G340" s="16"/>
    </row>
    <row r="341" ht="30.0" customHeight="1">
      <c r="A341" s="15"/>
      <c r="G341" s="16"/>
    </row>
    <row r="342" ht="30.0" customHeight="1">
      <c r="A342" s="15"/>
      <c r="G342" s="16"/>
    </row>
    <row r="343" ht="30.0" customHeight="1">
      <c r="A343" s="15"/>
      <c r="G343" s="16"/>
    </row>
    <row r="344" ht="30.0" customHeight="1">
      <c r="A344" s="15"/>
      <c r="G344" s="16"/>
    </row>
    <row r="345" ht="30.0" customHeight="1">
      <c r="A345" s="15"/>
      <c r="G345" s="16"/>
    </row>
    <row r="346" ht="30.0" customHeight="1">
      <c r="A346" s="15"/>
      <c r="G346" s="16"/>
    </row>
    <row r="347" ht="30.0" customHeight="1">
      <c r="A347" s="15"/>
      <c r="G347" s="16"/>
    </row>
    <row r="348" ht="30.0" customHeight="1">
      <c r="A348" s="15"/>
      <c r="G348" s="16"/>
    </row>
    <row r="349" ht="30.0" customHeight="1">
      <c r="A349" s="15"/>
      <c r="G349" s="16"/>
    </row>
    <row r="350" ht="30.0" customHeight="1">
      <c r="A350" s="15"/>
      <c r="G350" s="16"/>
    </row>
    <row r="351" ht="30.0" customHeight="1">
      <c r="A351" s="15"/>
      <c r="G351" s="16"/>
    </row>
    <row r="352" ht="30.0" customHeight="1">
      <c r="A352" s="15"/>
      <c r="G352" s="16"/>
    </row>
    <row r="353" ht="30.0" customHeight="1">
      <c r="A353" s="15"/>
      <c r="G353" s="16"/>
    </row>
    <row r="354" ht="30.0" customHeight="1">
      <c r="A354" s="15"/>
      <c r="G354" s="16"/>
    </row>
    <row r="355" ht="30.0" customHeight="1">
      <c r="A355" s="15"/>
      <c r="G355" s="16"/>
    </row>
    <row r="356" ht="30.0" customHeight="1">
      <c r="A356" s="15"/>
      <c r="G356" s="16"/>
    </row>
    <row r="357" ht="30.0" customHeight="1">
      <c r="A357" s="15"/>
      <c r="G357" s="16"/>
    </row>
    <row r="358" ht="30.0" customHeight="1">
      <c r="A358" s="15"/>
      <c r="G358" s="16"/>
    </row>
    <row r="359" ht="30.0" customHeight="1">
      <c r="A359" s="15"/>
      <c r="G359" s="16"/>
    </row>
    <row r="360" ht="30.0" customHeight="1">
      <c r="A360" s="15"/>
      <c r="G360" s="16"/>
    </row>
    <row r="361" ht="30.0" customHeight="1">
      <c r="A361" s="15"/>
      <c r="G361" s="16"/>
    </row>
    <row r="362" ht="30.0" customHeight="1">
      <c r="A362" s="15"/>
      <c r="G362" s="16"/>
    </row>
    <row r="363" ht="30.0" customHeight="1">
      <c r="A363" s="15"/>
      <c r="G363" s="16"/>
    </row>
    <row r="364" ht="30.0" customHeight="1">
      <c r="A364" s="15"/>
      <c r="G364" s="16"/>
    </row>
    <row r="365" ht="30.0" customHeight="1">
      <c r="A365" s="15"/>
      <c r="G365" s="16"/>
    </row>
    <row r="366" ht="30.0" customHeight="1">
      <c r="A366" s="15"/>
      <c r="G366" s="16"/>
    </row>
    <row r="367" ht="30.0" customHeight="1">
      <c r="A367" s="15"/>
      <c r="G367" s="16"/>
    </row>
    <row r="368" ht="30.0" customHeight="1">
      <c r="A368" s="15"/>
      <c r="G368" s="16"/>
    </row>
    <row r="369" ht="30.0" customHeight="1">
      <c r="A369" s="15"/>
      <c r="G369" s="16"/>
    </row>
    <row r="370" ht="30.0" customHeight="1">
      <c r="A370" s="15"/>
      <c r="G370" s="16"/>
    </row>
    <row r="371" ht="30.0" customHeight="1">
      <c r="A371" s="15"/>
      <c r="G371" s="16"/>
    </row>
    <row r="372" ht="30.0" customHeight="1">
      <c r="A372" s="15"/>
      <c r="G372" s="16"/>
    </row>
    <row r="373" ht="30.0" customHeight="1">
      <c r="A373" s="15"/>
      <c r="G373" s="16"/>
    </row>
    <row r="374" ht="30.0" customHeight="1">
      <c r="A374" s="15"/>
      <c r="G374" s="16"/>
    </row>
    <row r="375" ht="30.0" customHeight="1">
      <c r="A375" s="15"/>
      <c r="G375" s="16"/>
    </row>
    <row r="376" ht="30.0" customHeight="1">
      <c r="A376" s="15"/>
      <c r="G376" s="16"/>
    </row>
    <row r="377" ht="30.0" customHeight="1">
      <c r="A377" s="15"/>
      <c r="G377" s="16"/>
    </row>
    <row r="378" ht="30.0" customHeight="1">
      <c r="A378" s="15"/>
      <c r="G378" s="16"/>
    </row>
    <row r="379" ht="30.0" customHeight="1">
      <c r="A379" s="15"/>
      <c r="G379" s="16"/>
    </row>
    <row r="380" ht="30.0" customHeight="1">
      <c r="A380" s="15"/>
      <c r="G380" s="16"/>
    </row>
    <row r="381" ht="30.0" customHeight="1">
      <c r="A381" s="15"/>
      <c r="G381" s="16"/>
    </row>
    <row r="382" ht="30.0" customHeight="1">
      <c r="A382" s="15"/>
      <c r="G382" s="16"/>
    </row>
    <row r="383" ht="30.0" customHeight="1">
      <c r="A383" s="15"/>
      <c r="G383" s="16"/>
    </row>
    <row r="384" ht="30.0" customHeight="1">
      <c r="A384" s="15"/>
      <c r="G384" s="16"/>
    </row>
    <row r="385" ht="30.0" customHeight="1">
      <c r="A385" s="15"/>
      <c r="G385" s="16"/>
    </row>
    <row r="386" ht="30.0" customHeight="1">
      <c r="A386" s="15"/>
      <c r="G386" s="16"/>
    </row>
    <row r="387" ht="30.0" customHeight="1">
      <c r="A387" s="15"/>
      <c r="G387" s="16"/>
    </row>
    <row r="388" ht="30.0" customHeight="1">
      <c r="A388" s="15"/>
      <c r="G388" s="16"/>
    </row>
    <row r="389" ht="30.0" customHeight="1">
      <c r="A389" s="15"/>
      <c r="G389" s="16"/>
    </row>
    <row r="390" ht="30.0" customHeight="1">
      <c r="A390" s="15"/>
      <c r="G390" s="16"/>
    </row>
    <row r="391" ht="30.0" customHeight="1">
      <c r="A391" s="15"/>
      <c r="G391" s="16"/>
    </row>
    <row r="392" ht="30.0" customHeight="1">
      <c r="A392" s="15"/>
      <c r="G392" s="16"/>
    </row>
    <row r="393" ht="30.0" customHeight="1">
      <c r="A393" s="15"/>
      <c r="G393" s="16"/>
    </row>
    <row r="394" ht="30.0" customHeight="1">
      <c r="A394" s="15"/>
      <c r="G394" s="16"/>
    </row>
    <row r="395" ht="30.0" customHeight="1">
      <c r="A395" s="15"/>
      <c r="G395" s="16"/>
    </row>
    <row r="396" ht="30.0" customHeight="1">
      <c r="A396" s="15"/>
      <c r="G396" s="16"/>
    </row>
    <row r="397" ht="30.0" customHeight="1">
      <c r="A397" s="15"/>
      <c r="G397" s="16"/>
    </row>
    <row r="398" ht="30.0" customHeight="1">
      <c r="A398" s="15"/>
      <c r="G398" s="16"/>
    </row>
    <row r="399" ht="30.0" customHeight="1">
      <c r="A399" s="15"/>
      <c r="G399" s="16"/>
    </row>
    <row r="400" ht="30.0" customHeight="1">
      <c r="A400" s="15"/>
      <c r="G400" s="16"/>
    </row>
    <row r="401" ht="30.0" customHeight="1">
      <c r="A401" s="15"/>
      <c r="G401" s="16"/>
    </row>
    <row r="402" ht="30.0" customHeight="1">
      <c r="A402" s="15"/>
      <c r="G402" s="16"/>
    </row>
    <row r="403" ht="30.0" customHeight="1">
      <c r="A403" s="15"/>
      <c r="G403" s="16"/>
    </row>
    <row r="404" ht="30.0" customHeight="1">
      <c r="A404" s="15"/>
      <c r="G404" s="16"/>
    </row>
    <row r="405" ht="30.0" customHeight="1">
      <c r="A405" s="15"/>
      <c r="G405" s="16"/>
    </row>
    <row r="406" ht="30.0" customHeight="1">
      <c r="A406" s="15"/>
      <c r="G406" s="16"/>
    </row>
    <row r="407" ht="30.0" customHeight="1">
      <c r="A407" s="15"/>
      <c r="G407" s="16"/>
    </row>
    <row r="408" ht="30.0" customHeight="1">
      <c r="A408" s="15"/>
      <c r="G408" s="16"/>
    </row>
    <row r="409" ht="30.0" customHeight="1">
      <c r="A409" s="15"/>
      <c r="G409" s="16"/>
    </row>
    <row r="410" ht="30.0" customHeight="1">
      <c r="A410" s="15"/>
      <c r="G410" s="16"/>
    </row>
    <row r="411" ht="30.0" customHeight="1">
      <c r="A411" s="15"/>
      <c r="G411" s="16"/>
    </row>
    <row r="412" ht="30.0" customHeight="1">
      <c r="A412" s="15"/>
      <c r="G412" s="16"/>
    </row>
    <row r="413" ht="30.0" customHeight="1">
      <c r="A413" s="15"/>
      <c r="G413" s="16"/>
    </row>
    <row r="414" ht="30.0" customHeight="1">
      <c r="A414" s="15"/>
      <c r="G414" s="16"/>
    </row>
    <row r="415" ht="30.0" customHeight="1">
      <c r="A415" s="15"/>
      <c r="G415" s="16"/>
    </row>
    <row r="416" ht="30.0" customHeight="1">
      <c r="A416" s="15"/>
      <c r="G416" s="16"/>
    </row>
    <row r="417" ht="30.0" customHeight="1">
      <c r="A417" s="15"/>
      <c r="G417" s="16"/>
    </row>
    <row r="418" ht="30.0" customHeight="1">
      <c r="A418" s="15"/>
      <c r="G418" s="16"/>
    </row>
    <row r="419" ht="30.0" customHeight="1">
      <c r="A419" s="15"/>
      <c r="G419" s="16"/>
    </row>
    <row r="420" ht="30.0" customHeight="1">
      <c r="A420" s="15"/>
      <c r="G420" s="16"/>
    </row>
    <row r="421" ht="30.0" customHeight="1">
      <c r="A421" s="15"/>
      <c r="G421" s="16"/>
    </row>
    <row r="422" ht="30.0" customHeight="1">
      <c r="A422" s="15"/>
      <c r="G422" s="16"/>
    </row>
    <row r="423" ht="30.0" customHeight="1">
      <c r="A423" s="15"/>
      <c r="G423" s="16"/>
    </row>
    <row r="424" ht="30.0" customHeight="1">
      <c r="A424" s="15"/>
      <c r="G424" s="16"/>
    </row>
    <row r="425" ht="30.0" customHeight="1">
      <c r="A425" s="15"/>
      <c r="G425" s="16"/>
    </row>
    <row r="426" ht="30.0" customHeight="1">
      <c r="A426" s="15"/>
      <c r="G426" s="16"/>
    </row>
    <row r="427" ht="30.0" customHeight="1">
      <c r="A427" s="15"/>
      <c r="G427" s="16"/>
    </row>
    <row r="428" ht="30.0" customHeight="1">
      <c r="A428" s="15"/>
      <c r="G428" s="16"/>
    </row>
    <row r="429" ht="30.0" customHeight="1">
      <c r="A429" s="15"/>
      <c r="G429" s="16"/>
    </row>
    <row r="430" ht="30.0" customHeight="1">
      <c r="A430" s="15"/>
      <c r="G430" s="16"/>
    </row>
    <row r="431" ht="30.0" customHeight="1">
      <c r="A431" s="15"/>
      <c r="G431" s="16"/>
    </row>
    <row r="432" ht="30.0" customHeight="1">
      <c r="A432" s="15"/>
      <c r="G432" s="16"/>
    </row>
    <row r="433" ht="30.0" customHeight="1">
      <c r="A433" s="15"/>
      <c r="G433" s="16"/>
    </row>
    <row r="434" ht="30.0" customHeight="1">
      <c r="A434" s="15"/>
      <c r="G434" s="16"/>
    </row>
    <row r="435" ht="30.0" customHeight="1">
      <c r="A435" s="15"/>
      <c r="G435" s="16"/>
    </row>
    <row r="436" ht="30.0" customHeight="1">
      <c r="A436" s="15"/>
      <c r="G436" s="16"/>
    </row>
    <row r="437" ht="30.0" customHeight="1">
      <c r="A437" s="15"/>
      <c r="G437" s="16"/>
    </row>
    <row r="438" ht="30.0" customHeight="1">
      <c r="A438" s="15"/>
      <c r="G438" s="16"/>
    </row>
    <row r="439" ht="30.0" customHeight="1">
      <c r="A439" s="15"/>
      <c r="G439" s="16"/>
    </row>
    <row r="440" ht="30.0" customHeight="1">
      <c r="A440" s="15"/>
      <c r="G440" s="16"/>
    </row>
    <row r="441" ht="30.0" customHeight="1">
      <c r="A441" s="15"/>
      <c r="G441" s="16"/>
    </row>
    <row r="442" ht="30.0" customHeight="1">
      <c r="A442" s="15"/>
      <c r="G442" s="16"/>
    </row>
    <row r="443" ht="30.0" customHeight="1">
      <c r="A443" s="15"/>
      <c r="G443" s="16"/>
    </row>
    <row r="444" ht="30.0" customHeight="1">
      <c r="A444" s="15"/>
      <c r="G444" s="16"/>
    </row>
    <row r="445" ht="30.0" customHeight="1">
      <c r="A445" s="15"/>
      <c r="G445" s="16"/>
    </row>
    <row r="446" ht="30.0" customHeight="1">
      <c r="A446" s="15"/>
      <c r="G446" s="16"/>
    </row>
    <row r="447" ht="30.0" customHeight="1">
      <c r="A447" s="15"/>
      <c r="G447" s="16"/>
    </row>
    <row r="448" ht="30.0" customHeight="1">
      <c r="A448" s="15"/>
      <c r="G448" s="16"/>
    </row>
    <row r="449" ht="30.0" customHeight="1">
      <c r="A449" s="15"/>
      <c r="G449" s="16"/>
    </row>
    <row r="450" ht="30.0" customHeight="1">
      <c r="A450" s="15"/>
      <c r="G450" s="16"/>
    </row>
    <row r="451" ht="30.0" customHeight="1">
      <c r="A451" s="15"/>
      <c r="G451" s="16"/>
    </row>
    <row r="452" ht="30.0" customHeight="1">
      <c r="A452" s="15"/>
      <c r="G452" s="16"/>
    </row>
    <row r="453" ht="30.0" customHeight="1">
      <c r="A453" s="15"/>
      <c r="G453" s="16"/>
    </row>
    <row r="454" ht="30.0" customHeight="1">
      <c r="A454" s="15"/>
      <c r="G454" s="16"/>
    </row>
    <row r="455" ht="30.0" customHeight="1">
      <c r="A455" s="15"/>
      <c r="G455" s="16"/>
    </row>
    <row r="456" ht="30.0" customHeight="1">
      <c r="A456" s="15"/>
      <c r="G456" s="16"/>
    </row>
    <row r="457" ht="30.0" customHeight="1">
      <c r="A457" s="15"/>
      <c r="G457" s="16"/>
    </row>
    <row r="458" ht="30.0" customHeight="1">
      <c r="A458" s="15"/>
      <c r="G458" s="16"/>
    </row>
    <row r="459" ht="30.0" customHeight="1">
      <c r="A459" s="15"/>
      <c r="G459" s="16"/>
    </row>
    <row r="460" ht="30.0" customHeight="1">
      <c r="A460" s="15"/>
      <c r="G460" s="16"/>
    </row>
    <row r="461" ht="30.0" customHeight="1">
      <c r="A461" s="15"/>
      <c r="G461" s="16"/>
    </row>
    <row r="462" ht="30.0" customHeight="1">
      <c r="A462" s="15"/>
      <c r="G462" s="16"/>
    </row>
    <row r="463" ht="30.0" customHeight="1">
      <c r="A463" s="15"/>
      <c r="G463" s="16"/>
    </row>
    <row r="464" ht="30.0" customHeight="1">
      <c r="A464" s="15"/>
      <c r="G464" s="16"/>
    </row>
    <row r="465" ht="30.0" customHeight="1">
      <c r="A465" s="15"/>
      <c r="G465" s="16"/>
    </row>
    <row r="466" ht="30.0" customHeight="1">
      <c r="A466" s="15"/>
      <c r="G466" s="16"/>
    </row>
    <row r="467" ht="30.0" customHeight="1">
      <c r="A467" s="15"/>
      <c r="G467" s="16"/>
    </row>
    <row r="468" ht="30.0" customHeight="1">
      <c r="A468" s="15"/>
      <c r="G468" s="16"/>
    </row>
    <row r="469" ht="30.0" customHeight="1">
      <c r="A469" s="15"/>
      <c r="G469" s="16"/>
    </row>
    <row r="470" ht="30.0" customHeight="1">
      <c r="A470" s="15"/>
      <c r="G470" s="16"/>
    </row>
    <row r="471" ht="30.0" customHeight="1">
      <c r="A471" s="15"/>
      <c r="G471" s="16"/>
    </row>
    <row r="472" ht="30.0" customHeight="1">
      <c r="A472" s="15"/>
      <c r="G472" s="16"/>
    </row>
    <row r="473" ht="30.0" customHeight="1">
      <c r="A473" s="15"/>
      <c r="G473" s="16"/>
    </row>
    <row r="474" ht="30.0" customHeight="1">
      <c r="A474" s="15"/>
      <c r="G474" s="16"/>
    </row>
    <row r="475" ht="30.0" customHeight="1">
      <c r="A475" s="15"/>
      <c r="G475" s="16"/>
    </row>
    <row r="476" ht="30.0" customHeight="1">
      <c r="A476" s="15"/>
      <c r="G476" s="16"/>
    </row>
    <row r="477" ht="30.0" customHeight="1">
      <c r="A477" s="15"/>
      <c r="G477" s="16"/>
    </row>
    <row r="478" ht="30.0" customHeight="1">
      <c r="A478" s="15"/>
      <c r="G478" s="16"/>
    </row>
    <row r="479" ht="30.0" customHeight="1">
      <c r="A479" s="15"/>
      <c r="G479" s="16"/>
    </row>
    <row r="480" ht="30.0" customHeight="1">
      <c r="A480" s="15"/>
      <c r="G480" s="16"/>
    </row>
    <row r="481" ht="30.0" customHeight="1">
      <c r="A481" s="15"/>
      <c r="G481" s="16"/>
    </row>
    <row r="482" ht="30.0" customHeight="1">
      <c r="A482" s="15"/>
      <c r="G482" s="16"/>
    </row>
    <row r="483" ht="30.0" customHeight="1">
      <c r="A483" s="15"/>
      <c r="G483" s="16"/>
    </row>
    <row r="484" ht="30.0" customHeight="1">
      <c r="A484" s="15"/>
      <c r="G484" s="16"/>
    </row>
    <row r="485" ht="30.0" customHeight="1">
      <c r="A485" s="15"/>
      <c r="G485" s="16"/>
    </row>
    <row r="486" ht="30.0" customHeight="1">
      <c r="A486" s="15"/>
      <c r="G486" s="16"/>
    </row>
    <row r="487" ht="30.0" customHeight="1">
      <c r="A487" s="15"/>
      <c r="G487" s="16"/>
    </row>
    <row r="488" ht="30.0" customHeight="1">
      <c r="A488" s="15"/>
      <c r="G488" s="16"/>
    </row>
    <row r="489" ht="30.0" customHeight="1">
      <c r="A489" s="15"/>
      <c r="G489" s="16"/>
    </row>
    <row r="490" ht="30.0" customHeight="1">
      <c r="A490" s="15"/>
      <c r="G490" s="16"/>
    </row>
    <row r="491" ht="30.0" customHeight="1">
      <c r="A491" s="15"/>
      <c r="G491" s="16"/>
    </row>
    <row r="492" ht="30.0" customHeight="1">
      <c r="A492" s="15"/>
      <c r="G492" s="16"/>
    </row>
    <row r="493" ht="30.0" customHeight="1">
      <c r="A493" s="15"/>
      <c r="G493" s="16"/>
    </row>
    <row r="494" ht="30.0" customHeight="1">
      <c r="A494" s="15"/>
      <c r="G494" s="16"/>
    </row>
    <row r="495" ht="30.0" customHeight="1">
      <c r="A495" s="15"/>
      <c r="G495" s="16"/>
    </row>
    <row r="496" ht="30.0" customHeight="1">
      <c r="A496" s="15"/>
      <c r="G496" s="16"/>
    </row>
    <row r="497" ht="30.0" customHeight="1">
      <c r="A497" s="15"/>
      <c r="G497" s="16"/>
    </row>
    <row r="498" ht="30.0" customHeight="1">
      <c r="A498" s="15"/>
      <c r="G498" s="16"/>
    </row>
    <row r="499" ht="30.0" customHeight="1">
      <c r="A499" s="15"/>
      <c r="G499" s="16"/>
    </row>
    <row r="500" ht="30.0" customHeight="1">
      <c r="A500" s="15"/>
      <c r="G500" s="16"/>
    </row>
    <row r="501" ht="30.0" customHeight="1">
      <c r="A501" s="15"/>
      <c r="G501" s="16"/>
    </row>
    <row r="502" ht="30.0" customHeight="1">
      <c r="A502" s="15"/>
      <c r="G502" s="16"/>
    </row>
    <row r="503" ht="30.0" customHeight="1">
      <c r="A503" s="15"/>
      <c r="G503" s="16"/>
    </row>
    <row r="504" ht="30.0" customHeight="1">
      <c r="A504" s="15"/>
      <c r="G504" s="16"/>
    </row>
    <row r="505" ht="30.0" customHeight="1">
      <c r="A505" s="15"/>
      <c r="G505" s="16"/>
    </row>
    <row r="506" ht="30.0" customHeight="1">
      <c r="A506" s="15"/>
      <c r="G506" s="16"/>
    </row>
    <row r="507" ht="30.0" customHeight="1">
      <c r="A507" s="15"/>
      <c r="G507" s="16"/>
    </row>
    <row r="508" ht="30.0" customHeight="1">
      <c r="A508" s="15"/>
      <c r="G508" s="16"/>
    </row>
    <row r="509" ht="30.0" customHeight="1">
      <c r="A509" s="15"/>
      <c r="G509" s="16"/>
    </row>
    <row r="510" ht="30.0" customHeight="1">
      <c r="A510" s="15"/>
      <c r="G510" s="16"/>
    </row>
    <row r="511" ht="30.0" customHeight="1">
      <c r="A511" s="15"/>
      <c r="G511" s="16"/>
    </row>
    <row r="512" ht="30.0" customHeight="1">
      <c r="A512" s="15"/>
      <c r="G512" s="16"/>
    </row>
    <row r="513" ht="30.0" customHeight="1">
      <c r="A513" s="15"/>
      <c r="G513" s="16"/>
    </row>
    <row r="514" ht="30.0" customHeight="1">
      <c r="A514" s="15"/>
      <c r="G514" s="16"/>
    </row>
    <row r="515" ht="30.0" customHeight="1">
      <c r="A515" s="15"/>
      <c r="G515" s="16"/>
    </row>
    <row r="516" ht="30.0" customHeight="1">
      <c r="A516" s="15"/>
      <c r="G516" s="16"/>
    </row>
    <row r="517" ht="30.0" customHeight="1">
      <c r="A517" s="15"/>
      <c r="G517" s="16"/>
    </row>
    <row r="518" ht="30.0" customHeight="1">
      <c r="A518" s="15"/>
      <c r="G518" s="16"/>
    </row>
    <row r="519" ht="30.0" customHeight="1">
      <c r="A519" s="15"/>
      <c r="G519" s="16"/>
    </row>
    <row r="520" ht="30.0" customHeight="1">
      <c r="A520" s="15"/>
      <c r="G520" s="16"/>
    </row>
    <row r="521" ht="30.0" customHeight="1">
      <c r="A521" s="15"/>
      <c r="G521" s="16"/>
    </row>
    <row r="522" ht="30.0" customHeight="1">
      <c r="A522" s="15"/>
      <c r="G522" s="16"/>
    </row>
    <row r="523" ht="30.0" customHeight="1">
      <c r="A523" s="15"/>
      <c r="G523" s="16"/>
    </row>
    <row r="524" ht="30.0" customHeight="1">
      <c r="A524" s="15"/>
      <c r="G524" s="16"/>
    </row>
    <row r="525" ht="30.0" customHeight="1">
      <c r="A525" s="15"/>
      <c r="G525" s="16"/>
    </row>
    <row r="526" ht="30.0" customHeight="1">
      <c r="A526" s="15"/>
      <c r="G526" s="16"/>
    </row>
    <row r="527" ht="30.0" customHeight="1">
      <c r="A527" s="15"/>
      <c r="G527" s="16"/>
    </row>
    <row r="528" ht="30.0" customHeight="1">
      <c r="A528" s="15"/>
      <c r="G528" s="16"/>
    </row>
    <row r="529" ht="30.0" customHeight="1">
      <c r="A529" s="15"/>
      <c r="G529" s="16"/>
    </row>
    <row r="530" ht="30.0" customHeight="1">
      <c r="A530" s="15"/>
      <c r="G530" s="16"/>
    </row>
    <row r="531" ht="30.0" customHeight="1">
      <c r="A531" s="15"/>
      <c r="G531" s="16"/>
    </row>
    <row r="532" ht="30.0" customHeight="1">
      <c r="A532" s="15"/>
      <c r="G532" s="16"/>
    </row>
    <row r="533" ht="30.0" customHeight="1">
      <c r="A533" s="15"/>
      <c r="G533" s="16"/>
    </row>
    <row r="534" ht="30.0" customHeight="1">
      <c r="A534" s="15"/>
      <c r="G534" s="16"/>
    </row>
    <row r="535" ht="30.0" customHeight="1">
      <c r="A535" s="15"/>
      <c r="G535" s="16"/>
    </row>
    <row r="536" ht="30.0" customHeight="1">
      <c r="A536" s="15"/>
      <c r="G536" s="16"/>
    </row>
    <row r="537" ht="30.0" customHeight="1">
      <c r="A537" s="15"/>
      <c r="G537" s="16"/>
    </row>
    <row r="538" ht="30.0" customHeight="1">
      <c r="A538" s="15"/>
      <c r="G538" s="16"/>
    </row>
    <row r="539" ht="30.0" customHeight="1">
      <c r="A539" s="15"/>
      <c r="G539" s="16"/>
    </row>
    <row r="540" ht="30.0" customHeight="1">
      <c r="A540" s="15"/>
      <c r="G540" s="16"/>
    </row>
    <row r="541" ht="30.0" customHeight="1">
      <c r="A541" s="15"/>
      <c r="G541" s="16"/>
    </row>
    <row r="542" ht="30.0" customHeight="1">
      <c r="A542" s="15"/>
      <c r="G542" s="16"/>
    </row>
    <row r="543" ht="30.0" customHeight="1">
      <c r="A543" s="15"/>
      <c r="G543" s="16"/>
    </row>
    <row r="544" ht="30.0" customHeight="1">
      <c r="A544" s="15"/>
      <c r="G544" s="16"/>
    </row>
    <row r="545" ht="30.0" customHeight="1">
      <c r="A545" s="15"/>
      <c r="G545" s="16"/>
    </row>
    <row r="546" ht="30.0" customHeight="1">
      <c r="A546" s="15"/>
      <c r="G546" s="16"/>
    </row>
    <row r="547" ht="30.0" customHeight="1">
      <c r="A547" s="15"/>
      <c r="G547" s="16"/>
    </row>
    <row r="548" ht="30.0" customHeight="1">
      <c r="A548" s="15"/>
      <c r="G548" s="16"/>
    </row>
    <row r="549" ht="30.0" customHeight="1">
      <c r="A549" s="15"/>
      <c r="G549" s="16"/>
    </row>
    <row r="550" ht="30.0" customHeight="1">
      <c r="A550" s="15"/>
      <c r="G550" s="16"/>
    </row>
    <row r="551" ht="30.0" customHeight="1">
      <c r="A551" s="15"/>
      <c r="G551" s="16"/>
    </row>
    <row r="552" ht="30.0" customHeight="1">
      <c r="A552" s="15"/>
      <c r="G552" s="16"/>
    </row>
    <row r="553" ht="30.0" customHeight="1">
      <c r="A553" s="15"/>
      <c r="G553" s="16"/>
    </row>
    <row r="554" ht="30.0" customHeight="1">
      <c r="A554" s="15"/>
      <c r="G554" s="16"/>
    </row>
    <row r="555" ht="30.0" customHeight="1">
      <c r="A555" s="15"/>
      <c r="G555" s="16"/>
    </row>
    <row r="556" ht="30.0" customHeight="1">
      <c r="A556" s="15"/>
      <c r="G556" s="16"/>
    </row>
    <row r="557" ht="30.0" customHeight="1">
      <c r="A557" s="15"/>
      <c r="G557" s="16"/>
    </row>
    <row r="558" ht="30.0" customHeight="1">
      <c r="A558" s="15"/>
      <c r="G558" s="16"/>
    </row>
    <row r="559" ht="30.0" customHeight="1">
      <c r="A559" s="15"/>
      <c r="G559" s="16"/>
    </row>
    <row r="560" ht="30.0" customHeight="1">
      <c r="A560" s="15"/>
      <c r="G560" s="16"/>
    </row>
    <row r="561" ht="30.0" customHeight="1">
      <c r="A561" s="15"/>
      <c r="G561" s="16"/>
    </row>
    <row r="562" ht="30.0" customHeight="1">
      <c r="A562" s="15"/>
      <c r="G562" s="16"/>
    </row>
    <row r="563" ht="30.0" customHeight="1">
      <c r="A563" s="15"/>
      <c r="G563" s="16"/>
    </row>
    <row r="564" ht="30.0" customHeight="1">
      <c r="A564" s="15"/>
      <c r="G564" s="16"/>
    </row>
    <row r="565" ht="30.0" customHeight="1">
      <c r="A565" s="15"/>
      <c r="G565" s="16"/>
    </row>
    <row r="566" ht="30.0" customHeight="1">
      <c r="A566" s="15"/>
      <c r="G566" s="16"/>
    </row>
    <row r="567" ht="30.0" customHeight="1">
      <c r="A567" s="15"/>
      <c r="G567" s="16"/>
    </row>
    <row r="568" ht="30.0" customHeight="1">
      <c r="A568" s="15"/>
      <c r="G568" s="16"/>
    </row>
    <row r="569" ht="30.0" customHeight="1">
      <c r="A569" s="15"/>
      <c r="G569" s="16"/>
    </row>
    <row r="570" ht="30.0" customHeight="1">
      <c r="A570" s="15"/>
      <c r="G570" s="16"/>
    </row>
    <row r="571" ht="30.0" customHeight="1">
      <c r="A571" s="15"/>
      <c r="G571" s="16"/>
    </row>
    <row r="572" ht="30.0" customHeight="1">
      <c r="A572" s="15"/>
      <c r="G572" s="16"/>
    </row>
    <row r="573" ht="30.0" customHeight="1">
      <c r="A573" s="15"/>
      <c r="G573" s="16"/>
    </row>
    <row r="574" ht="30.0" customHeight="1">
      <c r="A574" s="15"/>
      <c r="G574" s="16"/>
    </row>
    <row r="575" ht="30.0" customHeight="1">
      <c r="A575" s="15"/>
      <c r="G575" s="16"/>
    </row>
    <row r="576" ht="30.0" customHeight="1">
      <c r="A576" s="15"/>
      <c r="G576" s="16"/>
    </row>
    <row r="577" ht="30.0" customHeight="1">
      <c r="A577" s="15"/>
      <c r="G577" s="16"/>
    </row>
    <row r="578" ht="30.0" customHeight="1">
      <c r="A578" s="15"/>
      <c r="G578" s="16"/>
    </row>
    <row r="579" ht="30.0" customHeight="1">
      <c r="A579" s="15"/>
      <c r="G579" s="16"/>
    </row>
    <row r="580" ht="30.0" customHeight="1">
      <c r="A580" s="15"/>
      <c r="G580" s="16"/>
    </row>
    <row r="581" ht="30.0" customHeight="1">
      <c r="A581" s="15"/>
      <c r="G581" s="16"/>
    </row>
    <row r="582" ht="30.0" customHeight="1">
      <c r="A582" s="15"/>
      <c r="G582" s="16"/>
    </row>
    <row r="583" ht="30.0" customHeight="1">
      <c r="A583" s="15"/>
      <c r="G583" s="16"/>
    </row>
    <row r="584" ht="30.0" customHeight="1">
      <c r="A584" s="15"/>
      <c r="G584" s="16"/>
    </row>
    <row r="585" ht="30.0" customHeight="1">
      <c r="A585" s="15"/>
      <c r="G585" s="16"/>
    </row>
    <row r="586" ht="30.0" customHeight="1">
      <c r="A586" s="15"/>
      <c r="G586" s="16"/>
    </row>
    <row r="587" ht="30.0" customHeight="1">
      <c r="A587" s="15"/>
      <c r="G587" s="16"/>
    </row>
    <row r="588" ht="30.0" customHeight="1">
      <c r="A588" s="15"/>
      <c r="G588" s="16"/>
    </row>
    <row r="589" ht="30.0" customHeight="1">
      <c r="A589" s="15"/>
      <c r="G589" s="16"/>
    </row>
    <row r="590" ht="30.0" customHeight="1">
      <c r="A590" s="15"/>
      <c r="G590" s="16"/>
    </row>
    <row r="591" ht="30.0" customHeight="1">
      <c r="A591" s="15"/>
      <c r="G591" s="16"/>
    </row>
    <row r="592" ht="30.0" customHeight="1">
      <c r="A592" s="15"/>
      <c r="G592" s="16"/>
    </row>
    <row r="593" ht="30.0" customHeight="1">
      <c r="A593" s="15"/>
      <c r="G593" s="16"/>
    </row>
    <row r="594" ht="30.0" customHeight="1">
      <c r="A594" s="15"/>
      <c r="G594" s="16"/>
    </row>
    <row r="595" ht="30.0" customHeight="1">
      <c r="A595" s="15"/>
      <c r="G595" s="16"/>
    </row>
    <row r="596" ht="30.0" customHeight="1">
      <c r="A596" s="15"/>
      <c r="G596" s="16"/>
    </row>
    <row r="597" ht="30.0" customHeight="1">
      <c r="A597" s="15"/>
      <c r="G597" s="16"/>
    </row>
    <row r="598" ht="30.0" customHeight="1">
      <c r="A598" s="15"/>
      <c r="G598" s="16"/>
    </row>
    <row r="599" ht="30.0" customHeight="1">
      <c r="A599" s="15"/>
      <c r="G599" s="16"/>
    </row>
    <row r="600" ht="30.0" customHeight="1">
      <c r="A600" s="15"/>
      <c r="G600" s="16"/>
    </row>
    <row r="601" ht="30.0" customHeight="1">
      <c r="A601" s="15"/>
      <c r="G601" s="16"/>
    </row>
    <row r="602" ht="30.0" customHeight="1">
      <c r="A602" s="15"/>
      <c r="G602" s="16"/>
    </row>
    <row r="603" ht="30.0" customHeight="1">
      <c r="A603" s="15"/>
      <c r="G603" s="16"/>
    </row>
    <row r="604" ht="30.0" customHeight="1">
      <c r="A604" s="15"/>
      <c r="G604" s="16"/>
    </row>
    <row r="605" ht="30.0" customHeight="1">
      <c r="A605" s="15"/>
      <c r="G605" s="16"/>
    </row>
    <row r="606" ht="30.0" customHeight="1">
      <c r="A606" s="15"/>
      <c r="G606" s="16"/>
    </row>
    <row r="607" ht="30.0" customHeight="1">
      <c r="A607" s="15"/>
      <c r="G607" s="16"/>
    </row>
    <row r="608" ht="30.0" customHeight="1">
      <c r="A608" s="15"/>
      <c r="G608" s="16"/>
    </row>
    <row r="609" ht="30.0" customHeight="1">
      <c r="A609" s="15"/>
      <c r="G609" s="16"/>
    </row>
    <row r="610" ht="30.0" customHeight="1">
      <c r="A610" s="15"/>
      <c r="G610" s="16"/>
    </row>
    <row r="611" ht="30.0" customHeight="1">
      <c r="A611" s="15"/>
      <c r="G611" s="16"/>
    </row>
    <row r="612" ht="30.0" customHeight="1">
      <c r="A612" s="15"/>
      <c r="G612" s="16"/>
    </row>
    <row r="613" ht="30.0" customHeight="1">
      <c r="A613" s="15"/>
      <c r="G613" s="16"/>
    </row>
    <row r="614" ht="30.0" customHeight="1">
      <c r="A614" s="15"/>
      <c r="G614" s="16"/>
    </row>
    <row r="615" ht="30.0" customHeight="1">
      <c r="A615" s="15"/>
      <c r="G615" s="16"/>
    </row>
    <row r="616" ht="30.0" customHeight="1">
      <c r="A616" s="15"/>
      <c r="G616" s="16"/>
    </row>
    <row r="617" ht="30.0" customHeight="1">
      <c r="A617" s="15"/>
      <c r="G617" s="16"/>
    </row>
    <row r="618" ht="30.0" customHeight="1">
      <c r="A618" s="15"/>
      <c r="G618" s="16"/>
    </row>
    <row r="619" ht="30.0" customHeight="1">
      <c r="A619" s="15"/>
      <c r="G619" s="16"/>
    </row>
    <row r="620" ht="30.0" customHeight="1">
      <c r="A620" s="15"/>
      <c r="G620" s="16"/>
    </row>
    <row r="621" ht="30.0" customHeight="1">
      <c r="A621" s="15"/>
      <c r="G621" s="16"/>
    </row>
    <row r="622" ht="30.0" customHeight="1">
      <c r="A622" s="15"/>
      <c r="G622" s="16"/>
    </row>
    <row r="623" ht="30.0" customHeight="1">
      <c r="A623" s="15"/>
      <c r="G623" s="16"/>
    </row>
    <row r="624" ht="30.0" customHeight="1">
      <c r="A624" s="15"/>
      <c r="G624" s="16"/>
    </row>
    <row r="625" ht="30.0" customHeight="1">
      <c r="A625" s="15"/>
      <c r="G625" s="16"/>
    </row>
    <row r="626" ht="30.0" customHeight="1">
      <c r="A626" s="15"/>
      <c r="G626" s="16"/>
    </row>
    <row r="627" ht="30.0" customHeight="1">
      <c r="A627" s="15"/>
      <c r="G627" s="16"/>
    </row>
    <row r="628" ht="30.0" customHeight="1">
      <c r="A628" s="15"/>
      <c r="G628" s="16"/>
    </row>
    <row r="629" ht="30.0" customHeight="1">
      <c r="A629" s="15"/>
      <c r="G629" s="16"/>
    </row>
    <row r="630" ht="30.0" customHeight="1">
      <c r="A630" s="15"/>
      <c r="G630" s="16"/>
    </row>
    <row r="631" ht="30.0" customHeight="1">
      <c r="A631" s="15"/>
      <c r="G631" s="16"/>
    </row>
    <row r="632" ht="30.0" customHeight="1">
      <c r="A632" s="15"/>
      <c r="G632" s="16"/>
    </row>
    <row r="633" ht="30.0" customHeight="1">
      <c r="A633" s="15"/>
      <c r="G633" s="16"/>
    </row>
    <row r="634" ht="30.0" customHeight="1">
      <c r="A634" s="15"/>
      <c r="G634" s="16"/>
    </row>
    <row r="635" ht="30.0" customHeight="1">
      <c r="A635" s="15"/>
      <c r="G635" s="16"/>
    </row>
    <row r="636" ht="30.0" customHeight="1">
      <c r="A636" s="15"/>
      <c r="G636" s="16"/>
    </row>
    <row r="637" ht="30.0" customHeight="1">
      <c r="A637" s="15"/>
      <c r="G637" s="16"/>
    </row>
    <row r="638" ht="30.0" customHeight="1">
      <c r="A638" s="15"/>
      <c r="G638" s="16"/>
    </row>
    <row r="639" ht="30.0" customHeight="1">
      <c r="A639" s="15"/>
      <c r="G639" s="16"/>
    </row>
    <row r="640" ht="30.0" customHeight="1">
      <c r="A640" s="15"/>
      <c r="G640" s="16"/>
    </row>
    <row r="641" ht="30.0" customHeight="1">
      <c r="A641" s="15"/>
      <c r="G641" s="16"/>
    </row>
    <row r="642" ht="30.0" customHeight="1">
      <c r="A642" s="15"/>
      <c r="G642" s="16"/>
    </row>
    <row r="643" ht="30.0" customHeight="1">
      <c r="A643" s="15"/>
      <c r="G643" s="16"/>
    </row>
    <row r="644" ht="30.0" customHeight="1">
      <c r="A644" s="15"/>
      <c r="G644" s="16"/>
    </row>
    <row r="645" ht="30.0" customHeight="1">
      <c r="A645" s="15"/>
      <c r="G645" s="16"/>
    </row>
    <row r="646" ht="30.0" customHeight="1">
      <c r="A646" s="15"/>
      <c r="G646" s="16"/>
    </row>
    <row r="647" ht="30.0" customHeight="1">
      <c r="A647" s="15"/>
      <c r="G647" s="16"/>
    </row>
    <row r="648" ht="30.0" customHeight="1">
      <c r="A648" s="15"/>
      <c r="G648" s="16"/>
    </row>
    <row r="649" ht="30.0" customHeight="1">
      <c r="A649" s="15"/>
      <c r="G649" s="16"/>
    </row>
    <row r="650" ht="30.0" customHeight="1">
      <c r="A650" s="15"/>
      <c r="G650" s="16"/>
    </row>
    <row r="651" ht="30.0" customHeight="1">
      <c r="A651" s="15"/>
      <c r="G651" s="16"/>
    </row>
    <row r="652" ht="30.0" customHeight="1">
      <c r="A652" s="15"/>
      <c r="G652" s="16"/>
    </row>
    <row r="653" ht="30.0" customHeight="1">
      <c r="A653" s="15"/>
      <c r="G653" s="16"/>
    </row>
    <row r="654" ht="30.0" customHeight="1">
      <c r="A654" s="15"/>
      <c r="G654" s="16"/>
    </row>
    <row r="655" ht="30.0" customHeight="1">
      <c r="A655" s="15"/>
      <c r="G655" s="16"/>
    </row>
    <row r="656" ht="30.0" customHeight="1">
      <c r="A656" s="15"/>
      <c r="G656" s="16"/>
    </row>
    <row r="657" ht="30.0" customHeight="1">
      <c r="A657" s="15"/>
      <c r="G657" s="16"/>
    </row>
    <row r="658" ht="30.0" customHeight="1">
      <c r="A658" s="15"/>
      <c r="G658" s="16"/>
    </row>
    <row r="659" ht="30.0" customHeight="1">
      <c r="A659" s="15"/>
      <c r="G659" s="16"/>
    </row>
    <row r="660" ht="30.0" customHeight="1">
      <c r="A660" s="15"/>
      <c r="G660" s="16"/>
    </row>
    <row r="661" ht="30.0" customHeight="1">
      <c r="A661" s="15"/>
      <c r="G661" s="16"/>
    </row>
    <row r="662" ht="30.0" customHeight="1">
      <c r="A662" s="15"/>
      <c r="G662" s="16"/>
    </row>
    <row r="663" ht="30.0" customHeight="1">
      <c r="A663" s="15"/>
      <c r="G663" s="16"/>
    </row>
    <row r="664" ht="30.0" customHeight="1">
      <c r="A664" s="15"/>
      <c r="G664" s="16"/>
    </row>
    <row r="665" ht="30.0" customHeight="1">
      <c r="A665" s="15"/>
      <c r="G665" s="16"/>
    </row>
    <row r="666" ht="30.0" customHeight="1">
      <c r="A666" s="15"/>
      <c r="G666" s="16"/>
    </row>
    <row r="667" ht="30.0" customHeight="1">
      <c r="A667" s="15"/>
      <c r="G667" s="16"/>
    </row>
    <row r="668" ht="30.0" customHeight="1">
      <c r="A668" s="15"/>
      <c r="G668" s="16"/>
    </row>
    <row r="669" ht="30.0" customHeight="1">
      <c r="A669" s="15"/>
      <c r="G669" s="16"/>
    </row>
    <row r="670" ht="30.0" customHeight="1">
      <c r="A670" s="15"/>
      <c r="G670" s="16"/>
    </row>
    <row r="671" ht="30.0" customHeight="1">
      <c r="A671" s="15"/>
      <c r="G671" s="16"/>
    </row>
    <row r="672" ht="30.0" customHeight="1">
      <c r="A672" s="15"/>
      <c r="G672" s="16"/>
    </row>
    <row r="673" ht="30.0" customHeight="1">
      <c r="A673" s="15"/>
      <c r="G673" s="16"/>
    </row>
    <row r="674" ht="30.0" customHeight="1">
      <c r="A674" s="15"/>
      <c r="G674" s="16"/>
    </row>
    <row r="675" ht="30.0" customHeight="1">
      <c r="A675" s="15"/>
      <c r="G675" s="16"/>
    </row>
    <row r="676" ht="30.0" customHeight="1">
      <c r="A676" s="15"/>
      <c r="G676" s="16"/>
    </row>
    <row r="677" ht="30.0" customHeight="1">
      <c r="A677" s="15"/>
      <c r="G677" s="16"/>
    </row>
    <row r="678" ht="30.0" customHeight="1">
      <c r="A678" s="15"/>
      <c r="G678" s="16"/>
    </row>
    <row r="679" ht="30.0" customHeight="1">
      <c r="A679" s="15"/>
      <c r="G679" s="16"/>
    </row>
    <row r="680" ht="30.0" customHeight="1">
      <c r="A680" s="15"/>
      <c r="G680" s="16"/>
    </row>
    <row r="681" ht="30.0" customHeight="1">
      <c r="A681" s="15"/>
      <c r="G681" s="16"/>
    </row>
    <row r="682" ht="30.0" customHeight="1">
      <c r="A682" s="15"/>
      <c r="G682" s="16"/>
    </row>
    <row r="683" ht="30.0" customHeight="1">
      <c r="A683" s="15"/>
      <c r="G683" s="16"/>
    </row>
    <row r="684" ht="30.0" customHeight="1">
      <c r="A684" s="15"/>
      <c r="G684" s="16"/>
    </row>
    <row r="685" ht="30.0" customHeight="1">
      <c r="A685" s="15"/>
      <c r="G685" s="16"/>
    </row>
    <row r="686" ht="30.0" customHeight="1">
      <c r="A686" s="15"/>
      <c r="G686" s="16"/>
    </row>
    <row r="687" ht="30.0" customHeight="1">
      <c r="A687" s="15"/>
      <c r="G687" s="16"/>
    </row>
    <row r="688" ht="30.0" customHeight="1">
      <c r="A688" s="15"/>
      <c r="G688" s="16"/>
    </row>
    <row r="689" ht="30.0" customHeight="1">
      <c r="A689" s="15"/>
      <c r="G689" s="16"/>
    </row>
    <row r="690" ht="30.0" customHeight="1">
      <c r="A690" s="15"/>
      <c r="G690" s="16"/>
    </row>
    <row r="691" ht="30.0" customHeight="1">
      <c r="A691" s="15"/>
      <c r="G691" s="16"/>
    </row>
    <row r="692" ht="30.0" customHeight="1">
      <c r="A692" s="15"/>
      <c r="G692" s="16"/>
    </row>
    <row r="693" ht="30.0" customHeight="1">
      <c r="A693" s="15"/>
      <c r="G693" s="16"/>
    </row>
    <row r="694" ht="30.0" customHeight="1">
      <c r="A694" s="15"/>
      <c r="G694" s="16"/>
    </row>
    <row r="695" ht="30.0" customHeight="1">
      <c r="A695" s="15"/>
      <c r="G695" s="16"/>
    </row>
    <row r="696" ht="30.0" customHeight="1">
      <c r="A696" s="15"/>
      <c r="G696" s="16"/>
    </row>
    <row r="697" ht="30.0" customHeight="1">
      <c r="A697" s="15"/>
      <c r="G697" s="16"/>
    </row>
    <row r="698" ht="30.0" customHeight="1">
      <c r="A698" s="15"/>
      <c r="G698" s="16"/>
    </row>
    <row r="699" ht="30.0" customHeight="1">
      <c r="A699" s="15"/>
      <c r="G699" s="16"/>
    </row>
    <row r="700" ht="30.0" customHeight="1">
      <c r="A700" s="15"/>
      <c r="G700" s="16"/>
    </row>
    <row r="701" ht="30.0" customHeight="1">
      <c r="A701" s="15"/>
      <c r="G701" s="16"/>
    </row>
    <row r="702" ht="30.0" customHeight="1">
      <c r="A702" s="15"/>
      <c r="G702" s="16"/>
    </row>
    <row r="703" ht="30.0" customHeight="1">
      <c r="A703" s="15"/>
      <c r="G703" s="16"/>
    </row>
    <row r="704" ht="30.0" customHeight="1">
      <c r="A704" s="15"/>
      <c r="G704" s="16"/>
    </row>
    <row r="705" ht="30.0" customHeight="1">
      <c r="A705" s="15"/>
      <c r="G705" s="16"/>
    </row>
    <row r="706" ht="30.0" customHeight="1">
      <c r="A706" s="15"/>
      <c r="G706" s="16"/>
    </row>
    <row r="707" ht="30.0" customHeight="1">
      <c r="A707" s="15"/>
      <c r="G707" s="16"/>
    </row>
    <row r="708" ht="30.0" customHeight="1">
      <c r="A708" s="15"/>
      <c r="G708" s="16"/>
    </row>
    <row r="709" ht="30.0" customHeight="1">
      <c r="A709" s="15"/>
      <c r="G709" s="16"/>
    </row>
    <row r="710" ht="30.0" customHeight="1">
      <c r="A710" s="15"/>
      <c r="G710" s="16"/>
    </row>
    <row r="711" ht="30.0" customHeight="1">
      <c r="A711" s="15"/>
      <c r="G711" s="16"/>
    </row>
    <row r="712" ht="30.0" customHeight="1">
      <c r="A712" s="15"/>
      <c r="G712" s="16"/>
    </row>
    <row r="713" ht="30.0" customHeight="1">
      <c r="A713" s="15"/>
      <c r="G713" s="16"/>
    </row>
    <row r="714" ht="30.0" customHeight="1">
      <c r="A714" s="15"/>
      <c r="G714" s="16"/>
    </row>
    <row r="715" ht="30.0" customHeight="1">
      <c r="A715" s="15"/>
      <c r="G715" s="16"/>
    </row>
    <row r="716" ht="30.0" customHeight="1">
      <c r="A716" s="15"/>
      <c r="G716" s="16"/>
    </row>
    <row r="717" ht="30.0" customHeight="1">
      <c r="A717" s="15"/>
      <c r="G717" s="16"/>
    </row>
    <row r="718" ht="30.0" customHeight="1">
      <c r="A718" s="15"/>
      <c r="G718" s="16"/>
    </row>
    <row r="719" ht="30.0" customHeight="1">
      <c r="A719" s="15"/>
      <c r="G719" s="16"/>
    </row>
    <row r="720" ht="30.0" customHeight="1">
      <c r="A720" s="15"/>
      <c r="G720" s="16"/>
    </row>
    <row r="721" ht="30.0" customHeight="1">
      <c r="A721" s="15"/>
      <c r="G721" s="16"/>
    </row>
    <row r="722" ht="30.0" customHeight="1">
      <c r="A722" s="15"/>
      <c r="G722" s="16"/>
    </row>
    <row r="723" ht="30.0" customHeight="1">
      <c r="A723" s="15"/>
      <c r="G723" s="16"/>
    </row>
    <row r="724" ht="30.0" customHeight="1">
      <c r="A724" s="15"/>
      <c r="G724" s="16"/>
    </row>
    <row r="725" ht="30.0" customHeight="1">
      <c r="A725" s="15"/>
      <c r="G725" s="16"/>
    </row>
    <row r="726" ht="30.0" customHeight="1">
      <c r="A726" s="15"/>
      <c r="G726" s="16"/>
    </row>
    <row r="727" ht="30.0" customHeight="1">
      <c r="A727" s="15"/>
      <c r="G727" s="16"/>
    </row>
    <row r="728" ht="30.0" customHeight="1">
      <c r="A728" s="15"/>
      <c r="G728" s="16"/>
    </row>
    <row r="729" ht="30.0" customHeight="1">
      <c r="A729" s="15"/>
      <c r="G729" s="16"/>
    </row>
    <row r="730" ht="30.0" customHeight="1">
      <c r="A730" s="15"/>
      <c r="G730" s="16"/>
    </row>
    <row r="731" ht="30.0" customHeight="1">
      <c r="A731" s="15"/>
      <c r="G731" s="16"/>
    </row>
    <row r="732" ht="30.0" customHeight="1">
      <c r="A732" s="15"/>
      <c r="G732" s="16"/>
    </row>
    <row r="733" ht="30.0" customHeight="1">
      <c r="A733" s="15"/>
      <c r="G733" s="16"/>
    </row>
    <row r="734" ht="30.0" customHeight="1">
      <c r="A734" s="15"/>
      <c r="G734" s="16"/>
    </row>
    <row r="735" ht="30.0" customHeight="1">
      <c r="A735" s="15"/>
      <c r="G735" s="16"/>
    </row>
    <row r="736" ht="30.0" customHeight="1">
      <c r="A736" s="15"/>
      <c r="G736" s="16"/>
    </row>
    <row r="737" ht="30.0" customHeight="1">
      <c r="A737" s="15"/>
      <c r="G737" s="16"/>
    </row>
    <row r="738" ht="30.0" customHeight="1">
      <c r="A738" s="15"/>
      <c r="G738" s="16"/>
    </row>
    <row r="739" ht="30.0" customHeight="1">
      <c r="A739" s="15"/>
      <c r="G739" s="16"/>
    </row>
    <row r="740" ht="30.0" customHeight="1">
      <c r="A740" s="15"/>
      <c r="G740" s="16"/>
    </row>
    <row r="741" ht="30.0" customHeight="1">
      <c r="A741" s="15"/>
      <c r="G741" s="16"/>
    </row>
    <row r="742" ht="30.0" customHeight="1">
      <c r="A742" s="15"/>
      <c r="G742" s="16"/>
    </row>
    <row r="743" ht="30.0" customHeight="1">
      <c r="A743" s="15"/>
      <c r="G743" s="16"/>
    </row>
    <row r="744" ht="30.0" customHeight="1">
      <c r="A744" s="15"/>
      <c r="G744" s="16"/>
    </row>
    <row r="745" ht="30.0" customHeight="1">
      <c r="A745" s="15"/>
      <c r="G745" s="16"/>
    </row>
    <row r="746" ht="30.0" customHeight="1">
      <c r="A746" s="15"/>
      <c r="G746" s="16"/>
    </row>
    <row r="747" ht="30.0" customHeight="1">
      <c r="A747" s="15"/>
      <c r="G747" s="16"/>
    </row>
    <row r="748" ht="30.0" customHeight="1">
      <c r="A748" s="15"/>
      <c r="G748" s="16"/>
    </row>
    <row r="749" ht="30.0" customHeight="1">
      <c r="A749" s="15"/>
      <c r="G749" s="16"/>
    </row>
    <row r="750" ht="30.0" customHeight="1">
      <c r="A750" s="15"/>
      <c r="G750" s="16"/>
    </row>
    <row r="751" ht="30.0" customHeight="1">
      <c r="A751" s="15"/>
      <c r="G751" s="16"/>
    </row>
    <row r="752" ht="30.0" customHeight="1">
      <c r="A752" s="15"/>
      <c r="G752" s="16"/>
    </row>
    <row r="753" ht="30.0" customHeight="1">
      <c r="A753" s="15"/>
      <c r="G753" s="16"/>
    </row>
    <row r="754" ht="30.0" customHeight="1">
      <c r="A754" s="15"/>
      <c r="G754" s="16"/>
    </row>
    <row r="755" ht="30.0" customHeight="1">
      <c r="A755" s="15"/>
      <c r="G755" s="16"/>
    </row>
    <row r="756" ht="30.0" customHeight="1">
      <c r="A756" s="15"/>
      <c r="G756" s="16"/>
    </row>
    <row r="757" ht="30.0" customHeight="1">
      <c r="A757" s="15"/>
      <c r="G757" s="16"/>
    </row>
    <row r="758" ht="30.0" customHeight="1">
      <c r="A758" s="15"/>
      <c r="G758" s="16"/>
    </row>
    <row r="759" ht="30.0" customHeight="1">
      <c r="A759" s="15"/>
      <c r="G759" s="16"/>
    </row>
    <row r="760" ht="30.0" customHeight="1">
      <c r="A760" s="15"/>
      <c r="G760" s="16"/>
    </row>
    <row r="761" ht="30.0" customHeight="1">
      <c r="A761" s="15"/>
      <c r="G761" s="16"/>
    </row>
    <row r="762" ht="30.0" customHeight="1">
      <c r="A762" s="15"/>
      <c r="G762" s="16"/>
    </row>
    <row r="763" ht="30.0" customHeight="1">
      <c r="A763" s="15"/>
      <c r="G763" s="16"/>
    </row>
    <row r="764" ht="30.0" customHeight="1">
      <c r="A764" s="15"/>
      <c r="G764" s="16"/>
    </row>
    <row r="765" ht="30.0" customHeight="1">
      <c r="A765" s="15"/>
      <c r="G765" s="16"/>
    </row>
    <row r="766" ht="30.0" customHeight="1">
      <c r="A766" s="15"/>
      <c r="G766" s="16"/>
    </row>
    <row r="767" ht="30.0" customHeight="1">
      <c r="A767" s="15"/>
      <c r="G767" s="16"/>
    </row>
    <row r="768" ht="30.0" customHeight="1">
      <c r="A768" s="15"/>
      <c r="G768" s="16"/>
    </row>
    <row r="769" ht="30.0" customHeight="1">
      <c r="A769" s="15"/>
      <c r="G769" s="16"/>
    </row>
    <row r="770" ht="30.0" customHeight="1">
      <c r="A770" s="15"/>
      <c r="G770" s="16"/>
    </row>
    <row r="771" ht="30.0" customHeight="1">
      <c r="A771" s="15"/>
      <c r="G771" s="16"/>
    </row>
    <row r="772" ht="30.0" customHeight="1">
      <c r="A772" s="15"/>
      <c r="G772" s="16"/>
    </row>
    <row r="773" ht="30.0" customHeight="1">
      <c r="A773" s="15"/>
      <c r="G773" s="16"/>
    </row>
    <row r="774" ht="30.0" customHeight="1">
      <c r="A774" s="15"/>
      <c r="G774" s="16"/>
    </row>
    <row r="775" ht="30.0" customHeight="1">
      <c r="A775" s="15"/>
      <c r="G775" s="16"/>
    </row>
    <row r="776" ht="30.0" customHeight="1">
      <c r="A776" s="15"/>
      <c r="G776" s="16"/>
    </row>
    <row r="777" ht="30.0" customHeight="1">
      <c r="A777" s="15"/>
      <c r="G777" s="16"/>
    </row>
    <row r="778" ht="30.0" customHeight="1">
      <c r="A778" s="15"/>
      <c r="G778" s="16"/>
    </row>
    <row r="779" ht="30.0" customHeight="1">
      <c r="A779" s="15"/>
      <c r="G779" s="16"/>
    </row>
    <row r="780" ht="30.0" customHeight="1">
      <c r="A780" s="15"/>
      <c r="G780" s="16"/>
    </row>
    <row r="781" ht="30.0" customHeight="1">
      <c r="A781" s="15"/>
      <c r="G781" s="16"/>
    </row>
    <row r="782" ht="30.0" customHeight="1">
      <c r="A782" s="15"/>
      <c r="G782" s="16"/>
    </row>
    <row r="783" ht="30.0" customHeight="1">
      <c r="A783" s="15"/>
      <c r="G783" s="16"/>
    </row>
    <row r="784" ht="30.0" customHeight="1">
      <c r="A784" s="15"/>
      <c r="G784" s="16"/>
    </row>
    <row r="785" ht="30.0" customHeight="1">
      <c r="A785" s="15"/>
      <c r="G785" s="16"/>
    </row>
    <row r="786" ht="30.0" customHeight="1">
      <c r="A786" s="15"/>
      <c r="G786" s="16"/>
    </row>
    <row r="787" ht="30.0" customHeight="1">
      <c r="A787" s="15"/>
      <c r="G787" s="16"/>
    </row>
    <row r="788" ht="30.0" customHeight="1">
      <c r="A788" s="15"/>
      <c r="G788" s="16"/>
    </row>
    <row r="789" ht="30.0" customHeight="1">
      <c r="A789" s="15"/>
      <c r="G789" s="16"/>
    </row>
    <row r="790" ht="30.0" customHeight="1">
      <c r="A790" s="15"/>
      <c r="G790" s="16"/>
    </row>
    <row r="791" ht="30.0" customHeight="1">
      <c r="A791" s="15"/>
      <c r="G791" s="16"/>
    </row>
    <row r="792" ht="30.0" customHeight="1">
      <c r="A792" s="15"/>
      <c r="G792" s="16"/>
    </row>
    <row r="793" ht="30.0" customHeight="1">
      <c r="A793" s="15"/>
      <c r="G793" s="16"/>
    </row>
    <row r="794" ht="30.0" customHeight="1">
      <c r="A794" s="15"/>
      <c r="G794" s="16"/>
    </row>
    <row r="795" ht="30.0" customHeight="1">
      <c r="A795" s="15"/>
      <c r="G795" s="16"/>
    </row>
    <row r="796" ht="30.0" customHeight="1">
      <c r="A796" s="15"/>
      <c r="G796" s="16"/>
    </row>
    <row r="797" ht="30.0" customHeight="1">
      <c r="A797" s="15"/>
      <c r="G797" s="16"/>
    </row>
    <row r="798" ht="30.0" customHeight="1">
      <c r="A798" s="15"/>
      <c r="G798" s="16"/>
    </row>
    <row r="799" ht="30.0" customHeight="1">
      <c r="A799" s="15"/>
      <c r="G799" s="16"/>
    </row>
    <row r="800" ht="30.0" customHeight="1">
      <c r="A800" s="15"/>
      <c r="G800" s="16"/>
    </row>
    <row r="801" ht="30.0" customHeight="1">
      <c r="A801" s="15"/>
      <c r="G801" s="16"/>
    </row>
    <row r="802" ht="30.0" customHeight="1">
      <c r="A802" s="15"/>
      <c r="G802" s="16"/>
    </row>
    <row r="803" ht="30.0" customHeight="1">
      <c r="A803" s="15"/>
      <c r="G803" s="16"/>
    </row>
    <row r="804" ht="30.0" customHeight="1">
      <c r="A804" s="15"/>
      <c r="G804" s="16"/>
    </row>
    <row r="805" ht="30.0" customHeight="1">
      <c r="A805" s="15"/>
      <c r="G805" s="16"/>
    </row>
    <row r="806" ht="30.0" customHeight="1">
      <c r="A806" s="15"/>
      <c r="G806" s="16"/>
    </row>
    <row r="807" ht="30.0" customHeight="1">
      <c r="A807" s="15"/>
      <c r="G807" s="16"/>
    </row>
    <row r="808" ht="30.0" customHeight="1">
      <c r="A808" s="15"/>
      <c r="G808" s="16"/>
    </row>
    <row r="809" ht="30.0" customHeight="1">
      <c r="A809" s="15"/>
      <c r="G809" s="16"/>
    </row>
    <row r="810" ht="30.0" customHeight="1">
      <c r="A810" s="15"/>
      <c r="G810" s="16"/>
    </row>
    <row r="811" ht="30.0" customHeight="1">
      <c r="A811" s="15"/>
      <c r="G811" s="16"/>
    </row>
    <row r="812" ht="30.0" customHeight="1">
      <c r="A812" s="15"/>
      <c r="G812" s="16"/>
    </row>
    <row r="813" ht="30.0" customHeight="1">
      <c r="A813" s="15"/>
      <c r="G813" s="16"/>
    </row>
    <row r="814" ht="30.0" customHeight="1">
      <c r="A814" s="15"/>
      <c r="G814" s="16"/>
    </row>
    <row r="815" ht="30.0" customHeight="1">
      <c r="A815" s="15"/>
      <c r="G815" s="16"/>
    </row>
    <row r="816" ht="30.0" customHeight="1">
      <c r="A816" s="15"/>
      <c r="G816" s="16"/>
    </row>
    <row r="817" ht="30.0" customHeight="1">
      <c r="A817" s="15"/>
      <c r="G817" s="16"/>
    </row>
    <row r="818" ht="30.0" customHeight="1">
      <c r="A818" s="15"/>
      <c r="G818" s="16"/>
    </row>
    <row r="819" ht="30.0" customHeight="1">
      <c r="A819" s="15"/>
      <c r="G819" s="16"/>
    </row>
    <row r="820" ht="30.0" customHeight="1">
      <c r="A820" s="15"/>
      <c r="G820" s="16"/>
    </row>
    <row r="821" ht="30.0" customHeight="1">
      <c r="A821" s="15"/>
      <c r="G821" s="16"/>
    </row>
    <row r="822" ht="30.0" customHeight="1">
      <c r="A822" s="15"/>
      <c r="G822" s="16"/>
    </row>
    <row r="823" ht="30.0" customHeight="1">
      <c r="A823" s="15"/>
      <c r="G823" s="16"/>
    </row>
    <row r="824" ht="30.0" customHeight="1">
      <c r="A824" s="15"/>
      <c r="G824" s="16"/>
    </row>
    <row r="825" ht="30.0" customHeight="1">
      <c r="A825" s="15"/>
      <c r="G825" s="16"/>
    </row>
    <row r="826" ht="30.0" customHeight="1">
      <c r="A826" s="15"/>
      <c r="G826" s="16"/>
    </row>
    <row r="827" ht="30.0" customHeight="1">
      <c r="A827" s="15"/>
      <c r="G827" s="16"/>
    </row>
    <row r="828" ht="30.0" customHeight="1">
      <c r="A828" s="15"/>
      <c r="G828" s="16"/>
    </row>
    <row r="829" ht="30.0" customHeight="1">
      <c r="A829" s="15"/>
      <c r="G829" s="16"/>
    </row>
    <row r="830" ht="30.0" customHeight="1">
      <c r="A830" s="15"/>
      <c r="G830" s="16"/>
    </row>
    <row r="831" ht="30.0" customHeight="1">
      <c r="A831" s="15"/>
      <c r="G831" s="16"/>
    </row>
    <row r="832" ht="30.0" customHeight="1">
      <c r="A832" s="15"/>
      <c r="G832" s="16"/>
    </row>
    <row r="833" ht="30.0" customHeight="1">
      <c r="A833" s="15"/>
      <c r="G833" s="16"/>
    </row>
    <row r="834" ht="30.0" customHeight="1">
      <c r="A834" s="15"/>
      <c r="G834" s="16"/>
    </row>
    <row r="835" ht="30.0" customHeight="1">
      <c r="A835" s="15"/>
      <c r="G835" s="16"/>
    </row>
    <row r="836" ht="30.0" customHeight="1">
      <c r="A836" s="15"/>
      <c r="G836" s="16"/>
    </row>
    <row r="837" ht="30.0" customHeight="1">
      <c r="A837" s="15"/>
      <c r="G837" s="16"/>
    </row>
    <row r="838" ht="30.0" customHeight="1">
      <c r="A838" s="15"/>
      <c r="G838" s="16"/>
    </row>
    <row r="839" ht="30.0" customHeight="1">
      <c r="A839" s="15"/>
      <c r="G839" s="16"/>
    </row>
    <row r="840" ht="30.0" customHeight="1">
      <c r="A840" s="15"/>
      <c r="G840" s="16"/>
    </row>
    <row r="841" ht="30.0" customHeight="1">
      <c r="A841" s="15"/>
      <c r="G841" s="16"/>
    </row>
    <row r="842" ht="30.0" customHeight="1">
      <c r="A842" s="15"/>
      <c r="G842" s="16"/>
    </row>
    <row r="843" ht="30.0" customHeight="1">
      <c r="A843" s="15"/>
      <c r="G843" s="16"/>
    </row>
    <row r="844" ht="30.0" customHeight="1">
      <c r="A844" s="15"/>
      <c r="G844" s="16"/>
    </row>
    <row r="845" ht="30.0" customHeight="1">
      <c r="A845" s="15"/>
      <c r="G845" s="16"/>
    </row>
    <row r="846" ht="30.0" customHeight="1">
      <c r="A846" s="15"/>
      <c r="G846" s="16"/>
    </row>
    <row r="847" ht="30.0" customHeight="1">
      <c r="A847" s="15"/>
      <c r="G847" s="16"/>
    </row>
    <row r="848" ht="30.0" customHeight="1">
      <c r="A848" s="15"/>
      <c r="G848" s="16"/>
    </row>
    <row r="849" ht="30.0" customHeight="1">
      <c r="A849" s="15"/>
      <c r="G849" s="16"/>
    </row>
    <row r="850" ht="30.0" customHeight="1">
      <c r="A850" s="15"/>
      <c r="G850" s="16"/>
    </row>
    <row r="851" ht="30.0" customHeight="1">
      <c r="A851" s="15"/>
      <c r="G851" s="16"/>
    </row>
    <row r="852" ht="30.0" customHeight="1">
      <c r="A852" s="15"/>
      <c r="G852" s="16"/>
    </row>
    <row r="853" ht="30.0" customHeight="1">
      <c r="A853" s="15"/>
      <c r="G853" s="16"/>
    </row>
    <row r="854" ht="30.0" customHeight="1">
      <c r="A854" s="15"/>
      <c r="G854" s="16"/>
    </row>
    <row r="855" ht="30.0" customHeight="1">
      <c r="A855" s="15"/>
      <c r="G855" s="16"/>
    </row>
    <row r="856" ht="30.0" customHeight="1">
      <c r="A856" s="15"/>
      <c r="G856" s="16"/>
    </row>
    <row r="857" ht="30.0" customHeight="1">
      <c r="A857" s="15"/>
      <c r="G857" s="16"/>
    </row>
    <row r="858" ht="30.0" customHeight="1">
      <c r="A858" s="15"/>
      <c r="G858" s="16"/>
    </row>
    <row r="859" ht="30.0" customHeight="1">
      <c r="A859" s="15"/>
      <c r="G859" s="16"/>
    </row>
    <row r="860" ht="30.0" customHeight="1">
      <c r="A860" s="15"/>
      <c r="G860" s="16"/>
    </row>
    <row r="861" ht="30.0" customHeight="1">
      <c r="A861" s="15"/>
      <c r="G861" s="16"/>
    </row>
    <row r="862" ht="30.0" customHeight="1">
      <c r="A862" s="15"/>
      <c r="G862" s="16"/>
    </row>
    <row r="863" ht="30.0" customHeight="1">
      <c r="A863" s="15"/>
      <c r="G863" s="16"/>
    </row>
    <row r="864" ht="30.0" customHeight="1">
      <c r="A864" s="15"/>
      <c r="G864" s="16"/>
    </row>
    <row r="865" ht="30.0" customHeight="1">
      <c r="A865" s="15"/>
      <c r="G865" s="16"/>
    </row>
    <row r="866" ht="30.0" customHeight="1">
      <c r="A866" s="15"/>
      <c r="G866" s="16"/>
    </row>
    <row r="867" ht="30.0" customHeight="1">
      <c r="A867" s="15"/>
      <c r="G867" s="16"/>
    </row>
    <row r="868" ht="30.0" customHeight="1">
      <c r="A868" s="15"/>
      <c r="G868" s="16"/>
    </row>
    <row r="869" ht="30.0" customHeight="1">
      <c r="A869" s="15"/>
      <c r="G869" s="16"/>
    </row>
    <row r="870" ht="30.0" customHeight="1">
      <c r="A870" s="15"/>
      <c r="G870" s="16"/>
    </row>
    <row r="871" ht="30.0" customHeight="1">
      <c r="A871" s="15"/>
      <c r="G871" s="16"/>
    </row>
    <row r="872" ht="30.0" customHeight="1">
      <c r="A872" s="15"/>
      <c r="G872" s="16"/>
    </row>
    <row r="873" ht="30.0" customHeight="1">
      <c r="A873" s="15"/>
      <c r="G873" s="16"/>
    </row>
    <row r="874" ht="30.0" customHeight="1">
      <c r="A874" s="15"/>
      <c r="G874" s="16"/>
    </row>
    <row r="875" ht="30.0" customHeight="1">
      <c r="A875" s="15"/>
      <c r="G875" s="16"/>
    </row>
    <row r="876" ht="30.0" customHeight="1">
      <c r="A876" s="15"/>
      <c r="G876" s="16"/>
    </row>
    <row r="877" ht="30.0" customHeight="1">
      <c r="A877" s="15"/>
      <c r="G877" s="16"/>
    </row>
    <row r="878" ht="30.0" customHeight="1">
      <c r="A878" s="15"/>
      <c r="G878" s="16"/>
    </row>
    <row r="879" ht="30.0" customHeight="1">
      <c r="A879" s="15"/>
      <c r="G879" s="16"/>
    </row>
    <row r="880" ht="30.0" customHeight="1">
      <c r="A880" s="15"/>
      <c r="G880" s="16"/>
    </row>
    <row r="881" ht="30.0" customHeight="1">
      <c r="A881" s="15"/>
      <c r="G881" s="16"/>
    </row>
    <row r="882" ht="30.0" customHeight="1">
      <c r="A882" s="15"/>
      <c r="G882" s="16"/>
    </row>
    <row r="883" ht="30.0" customHeight="1">
      <c r="A883" s="15"/>
      <c r="G883" s="16"/>
    </row>
    <row r="884" ht="30.0" customHeight="1">
      <c r="A884" s="15"/>
      <c r="G884" s="16"/>
    </row>
    <row r="885" ht="30.0" customHeight="1">
      <c r="A885" s="15"/>
      <c r="G885" s="16"/>
    </row>
    <row r="886" ht="30.0" customHeight="1">
      <c r="A886" s="15"/>
      <c r="G886" s="16"/>
    </row>
    <row r="887" ht="30.0" customHeight="1">
      <c r="A887" s="15"/>
      <c r="G887" s="16"/>
    </row>
    <row r="888" ht="30.0" customHeight="1">
      <c r="A888" s="15"/>
      <c r="G888" s="16"/>
    </row>
    <row r="889" ht="30.0" customHeight="1">
      <c r="A889" s="15"/>
      <c r="G889" s="16"/>
    </row>
    <row r="890" ht="30.0" customHeight="1">
      <c r="A890" s="15"/>
      <c r="G890" s="16"/>
    </row>
    <row r="891" ht="30.0" customHeight="1">
      <c r="A891" s="15"/>
      <c r="G891" s="16"/>
    </row>
    <row r="892" ht="30.0" customHeight="1">
      <c r="A892" s="15"/>
      <c r="G892" s="16"/>
    </row>
    <row r="893" ht="30.0" customHeight="1">
      <c r="A893" s="15"/>
      <c r="G893" s="16"/>
    </row>
    <row r="894" ht="30.0" customHeight="1">
      <c r="A894" s="15"/>
      <c r="G894" s="16"/>
    </row>
    <row r="895" ht="30.0" customHeight="1">
      <c r="A895" s="15"/>
      <c r="G895" s="16"/>
    </row>
    <row r="896" ht="30.0" customHeight="1">
      <c r="A896" s="15"/>
      <c r="G896" s="16"/>
    </row>
    <row r="897" ht="30.0" customHeight="1">
      <c r="A897" s="15"/>
      <c r="G897" s="16"/>
    </row>
    <row r="898" ht="30.0" customHeight="1">
      <c r="A898" s="15"/>
      <c r="G898" s="16"/>
    </row>
    <row r="899" ht="30.0" customHeight="1">
      <c r="A899" s="15"/>
      <c r="G899" s="16"/>
    </row>
    <row r="900" ht="30.0" customHeight="1">
      <c r="A900" s="15"/>
      <c r="G900" s="16"/>
    </row>
    <row r="901" ht="30.0" customHeight="1">
      <c r="A901" s="15"/>
      <c r="G901" s="16"/>
    </row>
    <row r="902" ht="30.0" customHeight="1">
      <c r="A902" s="15"/>
      <c r="G902" s="16"/>
    </row>
    <row r="903" ht="30.0" customHeight="1">
      <c r="A903" s="15"/>
      <c r="G903" s="16"/>
    </row>
    <row r="904" ht="30.0" customHeight="1">
      <c r="A904" s="15"/>
      <c r="G904" s="16"/>
    </row>
    <row r="905" ht="30.0" customHeight="1">
      <c r="A905" s="15"/>
      <c r="G905" s="16"/>
    </row>
    <row r="906" ht="30.0" customHeight="1">
      <c r="A906" s="15"/>
      <c r="G906" s="16"/>
    </row>
    <row r="907" ht="30.0" customHeight="1">
      <c r="A907" s="15"/>
      <c r="G907" s="16"/>
    </row>
    <row r="908" ht="30.0" customHeight="1">
      <c r="A908" s="15"/>
      <c r="G908" s="16"/>
    </row>
    <row r="909" ht="30.0" customHeight="1">
      <c r="A909" s="15"/>
      <c r="G909" s="16"/>
    </row>
    <row r="910" ht="30.0" customHeight="1">
      <c r="A910" s="15"/>
      <c r="G910" s="16"/>
    </row>
    <row r="911" ht="30.0" customHeight="1">
      <c r="A911" s="15"/>
      <c r="G911" s="16"/>
    </row>
    <row r="912" ht="30.0" customHeight="1">
      <c r="A912" s="15"/>
      <c r="G912" s="16"/>
    </row>
    <row r="913" ht="30.0" customHeight="1">
      <c r="A913" s="15"/>
      <c r="G913" s="16"/>
    </row>
    <row r="914" ht="30.0" customHeight="1">
      <c r="A914" s="15"/>
      <c r="G914" s="16"/>
    </row>
    <row r="915" ht="30.0" customHeight="1">
      <c r="A915" s="15"/>
      <c r="G915" s="16"/>
    </row>
    <row r="916" ht="30.0" customHeight="1">
      <c r="A916" s="15"/>
      <c r="G916" s="16"/>
    </row>
    <row r="917" ht="30.0" customHeight="1">
      <c r="A917" s="15"/>
      <c r="G917" s="16"/>
    </row>
    <row r="918" ht="30.0" customHeight="1">
      <c r="A918" s="15"/>
      <c r="G918" s="16"/>
    </row>
    <row r="919" ht="30.0" customHeight="1">
      <c r="A919" s="15"/>
      <c r="G919" s="16"/>
    </row>
    <row r="920" ht="30.0" customHeight="1">
      <c r="A920" s="15"/>
      <c r="G920" s="16"/>
    </row>
    <row r="921" ht="30.0" customHeight="1">
      <c r="A921" s="15"/>
      <c r="G921" s="16"/>
    </row>
    <row r="922" ht="30.0" customHeight="1">
      <c r="A922" s="15"/>
      <c r="G922" s="16"/>
    </row>
    <row r="923" ht="30.0" customHeight="1">
      <c r="A923" s="15"/>
      <c r="G923" s="16"/>
    </row>
    <row r="924" ht="30.0" customHeight="1">
      <c r="A924" s="15"/>
      <c r="G924" s="16"/>
    </row>
    <row r="925" ht="30.0" customHeight="1">
      <c r="A925" s="15"/>
      <c r="G925" s="16"/>
    </row>
    <row r="926" ht="30.0" customHeight="1">
      <c r="A926" s="15"/>
      <c r="G926" s="16"/>
    </row>
    <row r="927" ht="30.0" customHeight="1">
      <c r="A927" s="15"/>
      <c r="G927" s="16"/>
    </row>
    <row r="928" ht="30.0" customHeight="1">
      <c r="A928" s="15"/>
      <c r="G928" s="16"/>
    </row>
    <row r="929" ht="30.0" customHeight="1">
      <c r="A929" s="15"/>
      <c r="G929" s="16"/>
    </row>
    <row r="930" ht="30.0" customHeight="1">
      <c r="A930" s="15"/>
      <c r="G930" s="16"/>
    </row>
    <row r="931" ht="30.0" customHeight="1">
      <c r="A931" s="15"/>
      <c r="G931" s="16"/>
    </row>
    <row r="932" ht="30.0" customHeight="1">
      <c r="A932" s="15"/>
      <c r="G932" s="16"/>
    </row>
    <row r="933" ht="30.0" customHeight="1">
      <c r="A933" s="15"/>
      <c r="G933" s="16"/>
    </row>
    <row r="934" ht="30.0" customHeight="1">
      <c r="A934" s="15"/>
      <c r="G934" s="16"/>
    </row>
    <row r="935" ht="30.0" customHeight="1">
      <c r="A935" s="15"/>
      <c r="G935" s="16"/>
    </row>
    <row r="936" ht="30.0" customHeight="1">
      <c r="A936" s="15"/>
      <c r="G936" s="16"/>
    </row>
    <row r="937" ht="30.0" customHeight="1">
      <c r="A937" s="15"/>
      <c r="G937" s="16"/>
    </row>
    <row r="938" ht="30.0" customHeight="1">
      <c r="A938" s="15"/>
      <c r="G938" s="16"/>
    </row>
    <row r="939" ht="30.0" customHeight="1">
      <c r="A939" s="15"/>
      <c r="G939" s="16"/>
    </row>
    <row r="940" ht="30.0" customHeight="1">
      <c r="A940" s="15"/>
      <c r="G940" s="16"/>
    </row>
    <row r="941" ht="30.0" customHeight="1">
      <c r="A941" s="15"/>
      <c r="G941" s="16"/>
    </row>
    <row r="942" ht="30.0" customHeight="1">
      <c r="A942" s="15"/>
      <c r="G942" s="16"/>
    </row>
    <row r="943" ht="30.0" customHeight="1">
      <c r="A943" s="15"/>
      <c r="G943" s="16"/>
    </row>
    <row r="944" ht="30.0" customHeight="1">
      <c r="A944" s="15"/>
      <c r="G944" s="16"/>
    </row>
    <row r="945" ht="30.0" customHeight="1">
      <c r="A945" s="15"/>
      <c r="G945" s="16"/>
    </row>
    <row r="946" ht="30.0" customHeight="1">
      <c r="A946" s="15"/>
      <c r="G946" s="16"/>
    </row>
    <row r="947" ht="30.0" customHeight="1">
      <c r="A947" s="15"/>
      <c r="G947" s="16"/>
    </row>
    <row r="948" ht="30.0" customHeight="1">
      <c r="A948" s="15"/>
      <c r="G948" s="16"/>
    </row>
    <row r="949" ht="30.0" customHeight="1">
      <c r="A949" s="15"/>
      <c r="G949" s="16"/>
    </row>
    <row r="950" ht="30.0" customHeight="1">
      <c r="A950" s="15"/>
      <c r="G950" s="16"/>
    </row>
    <row r="951" ht="30.0" customHeight="1">
      <c r="A951" s="15"/>
      <c r="G951" s="16"/>
    </row>
    <row r="952" ht="30.0" customHeight="1">
      <c r="A952" s="15"/>
      <c r="G952" s="16"/>
    </row>
    <row r="953" ht="30.0" customHeight="1">
      <c r="A953" s="15"/>
      <c r="G953" s="16"/>
    </row>
    <row r="954" ht="30.0" customHeight="1">
      <c r="A954" s="15"/>
      <c r="G954" s="16"/>
    </row>
    <row r="955" ht="30.0" customHeight="1">
      <c r="A955" s="15"/>
      <c r="G955" s="16"/>
    </row>
    <row r="956" ht="30.0" customHeight="1">
      <c r="A956" s="15"/>
      <c r="G956" s="16"/>
    </row>
    <row r="957" ht="30.0" customHeight="1">
      <c r="A957" s="15"/>
      <c r="G957" s="16"/>
    </row>
    <row r="958" ht="30.0" customHeight="1">
      <c r="A958" s="15"/>
      <c r="G958" s="16"/>
    </row>
    <row r="959" ht="30.0" customHeight="1">
      <c r="A959" s="15"/>
      <c r="G959" s="16"/>
    </row>
    <row r="960" ht="30.0" customHeight="1">
      <c r="A960" s="15"/>
      <c r="G960" s="16"/>
    </row>
    <row r="961" ht="30.0" customHeight="1">
      <c r="A961" s="15"/>
      <c r="G961" s="16"/>
    </row>
    <row r="962" ht="30.0" customHeight="1">
      <c r="A962" s="15"/>
      <c r="G962" s="16"/>
    </row>
    <row r="963" ht="30.0" customHeight="1">
      <c r="A963" s="15"/>
      <c r="G963" s="16"/>
    </row>
    <row r="964" ht="30.0" customHeight="1">
      <c r="A964" s="15"/>
      <c r="G964" s="16"/>
    </row>
    <row r="965" ht="30.0" customHeight="1">
      <c r="A965" s="15"/>
      <c r="G965" s="16"/>
    </row>
    <row r="966" ht="30.0" customHeight="1">
      <c r="A966" s="15"/>
      <c r="G966" s="16"/>
    </row>
    <row r="967" ht="30.0" customHeight="1">
      <c r="A967" s="15"/>
      <c r="G967" s="16"/>
    </row>
    <row r="968" ht="30.0" customHeight="1">
      <c r="A968" s="15"/>
      <c r="G968" s="16"/>
    </row>
    <row r="969" ht="30.0" customHeight="1">
      <c r="A969" s="15"/>
      <c r="G969" s="16"/>
    </row>
    <row r="970" ht="30.0" customHeight="1">
      <c r="A970" s="15"/>
      <c r="G970" s="16"/>
    </row>
    <row r="971" ht="30.0" customHeight="1">
      <c r="A971" s="15"/>
      <c r="G971" s="16"/>
    </row>
    <row r="972" ht="30.0" customHeight="1">
      <c r="A972" s="15"/>
      <c r="G972" s="16"/>
    </row>
    <row r="973" ht="30.0" customHeight="1">
      <c r="A973" s="15"/>
      <c r="G973" s="16"/>
    </row>
    <row r="974" ht="30.0" customHeight="1">
      <c r="A974" s="15"/>
      <c r="G974" s="16"/>
    </row>
    <row r="975" ht="30.0" customHeight="1">
      <c r="A975" s="15"/>
      <c r="G975" s="16"/>
    </row>
    <row r="976" ht="30.0" customHeight="1">
      <c r="A976" s="15"/>
      <c r="G976" s="16"/>
    </row>
    <row r="977" ht="30.0" customHeight="1">
      <c r="A977" s="15"/>
      <c r="G977" s="16"/>
    </row>
    <row r="978" ht="30.0" customHeight="1">
      <c r="A978" s="15"/>
      <c r="G978" s="16"/>
    </row>
    <row r="979" ht="30.0" customHeight="1">
      <c r="A979" s="15"/>
      <c r="G979" s="16"/>
    </row>
    <row r="980" ht="30.0" customHeight="1">
      <c r="A980" s="15"/>
      <c r="G980" s="16"/>
    </row>
    <row r="981" ht="30.0" customHeight="1">
      <c r="A981" s="15"/>
      <c r="G981" s="16"/>
    </row>
    <row r="982" ht="30.0" customHeight="1">
      <c r="A982" s="15"/>
      <c r="G982" s="16"/>
    </row>
    <row r="983" ht="30.0" customHeight="1">
      <c r="A983" s="15"/>
      <c r="G983" s="16"/>
    </row>
    <row r="984" ht="30.0" customHeight="1">
      <c r="A984" s="15"/>
      <c r="G984" s="16"/>
    </row>
    <row r="985" ht="30.0" customHeight="1">
      <c r="A985" s="15"/>
      <c r="G985" s="16"/>
    </row>
    <row r="986" ht="30.0" customHeight="1">
      <c r="A986" s="15"/>
      <c r="G986" s="16"/>
    </row>
    <row r="987" ht="30.0" customHeight="1">
      <c r="A987" s="15"/>
      <c r="G987" s="16"/>
    </row>
    <row r="988" ht="30.0" customHeight="1">
      <c r="A988" s="15"/>
      <c r="G988" s="16"/>
    </row>
    <row r="989" ht="30.0" customHeight="1">
      <c r="A989" s="15"/>
      <c r="G989" s="16"/>
    </row>
    <row r="990" ht="30.0" customHeight="1">
      <c r="A990" s="15"/>
      <c r="G990" s="16"/>
    </row>
    <row r="991" ht="30.0" customHeight="1">
      <c r="A991" s="15"/>
      <c r="G991" s="16"/>
    </row>
    <row r="992" ht="30.0" customHeight="1">
      <c r="A992" s="15"/>
      <c r="G992" s="16"/>
    </row>
    <row r="993" ht="30.0" customHeight="1">
      <c r="A993" s="15"/>
      <c r="G993" s="16"/>
    </row>
    <row r="994" ht="30.0" customHeight="1">
      <c r="A994" s="15"/>
      <c r="G994" s="16"/>
    </row>
    <row r="995" ht="30.0" customHeight="1">
      <c r="A995" s="15"/>
      <c r="G995" s="16"/>
    </row>
    <row r="996" ht="30.0" customHeight="1">
      <c r="A996" s="15"/>
      <c r="G996" s="16"/>
    </row>
    <row r="997" ht="30.0" customHeight="1">
      <c r="A997" s="15"/>
      <c r="G997" s="16"/>
    </row>
  </sheetData>
  <mergeCells count="9">
    <mergeCell ref="J4:M4"/>
    <mergeCell ref="E9:F9"/>
    <mergeCell ref="B2:I2"/>
    <mergeCell ref="J2:O2"/>
    <mergeCell ref="P2:U2"/>
    <mergeCell ref="O4:R4"/>
    <mergeCell ref="T4:W4"/>
    <mergeCell ref="Y4:AB4"/>
    <mergeCell ref="AD4:AG4"/>
  </mergeCells>
  <conditionalFormatting sqref="J7:BM33">
    <cfRule type="expression" dxfId="0" priority="1">
      <formula>AND(TODAY()&gt;=J$7,TODAY()&lt;K$7)</formula>
    </cfRule>
  </conditionalFormatting>
  <conditionalFormatting sqref="J6:BM6">
    <cfRule type="expression" dxfId="1" priority="2">
      <formula>AND(J$7&lt;=EOMONTH($J$7,1),J$7&gt;EOMONTH($J$7,0))</formula>
    </cfRule>
  </conditionalFormatting>
  <conditionalFormatting sqref="K6:BM6">
    <cfRule type="expression" dxfId="2" priority="3">
      <formula>AND(K$7&lt;=EOMONTH($J$7,2),K$7&gt;EOMONTH($J$7,0),K$7&gt;EOMONTH($J$7,1))</formula>
    </cfRule>
  </conditionalFormatting>
  <conditionalFormatting sqref="J6:AN6">
    <cfRule type="expression" dxfId="2" priority="4">
      <formula>J$7&lt;=EOMONTH($J$7,0)</formula>
    </cfRule>
  </conditionalFormatting>
  <conditionalFormatting sqref="J10:BM33">
    <cfRule type="expression" dxfId="3" priority="5">
      <formula>AND($C10="Risco Baixo",J$7&gt;=$G10,J$7&lt;=$G10+$H10-1)</formula>
    </cfRule>
  </conditionalFormatting>
  <conditionalFormatting sqref="J10:BM33">
    <cfRule type="expression" dxfId="4" priority="6">
      <formula>AND($C10="Risco Elevado",J$7&gt;=$G10,J$7&lt;=$G10+$H10-1)</formula>
    </cfRule>
  </conditionalFormatting>
  <conditionalFormatting sqref="J10:BM33">
    <cfRule type="expression" dxfId="5" priority="7">
      <formula>AND($C10="Dentro do prazo",J$7&gt;=$G10,J$7&lt;=$G10+$H10-1)</formula>
    </cfRule>
  </conditionalFormatting>
  <conditionalFormatting sqref="J10:BM33">
    <cfRule type="expression" dxfId="6" priority="8">
      <formula>AND($C10="Risco Médio",J$7&gt;=$G10,J$7&lt;=$G10+$H10-1)</formula>
    </cfRule>
  </conditionalFormatting>
  <conditionalFormatting sqref="J10:BM33">
    <cfRule type="expression" dxfId="7" priority="9">
      <formula>AND(LEN($C10)=0,J$7&gt;=$G10,J$7&lt;=$G10+$H10-1)</formula>
    </cfRule>
  </conditionalFormatting>
  <dataValidations>
    <dataValidation type="decimal" operator="greaterThanOrEqual" allowBlank="1" showInputMessage="1" prompt="Incremento de rolagem - A alteração deste número irá percorrer a vista do Mapa de Gantt." sqref="C7">
      <formula1>0.0</formula1>
    </dataValidation>
    <dataValidation type="list" allowBlank="1" showErrorMessage="1" sqref="C10 C12:C33">
      <formula1>"Objetivo,Marco,Dentro do prazo,Risco Baixo,Risco Médio,Risco Elevado"</formula1>
    </dataValidation>
    <dataValidation type="list" allowBlank="1" sqref="C11">
      <formula1>"Objetivo,Marco,Dentro do prazo,Risco Baixo,Risco Médio,Risco Elevado"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6.71"/>
    <col customWidth="1" min="3" max="3" width="16.71"/>
    <col customWidth="1" min="4" max="4" width="20.57"/>
    <col customWidth="1" min="5" max="5" width="15.71"/>
    <col customWidth="1" min="6" max="6" width="12.71"/>
    <col customWidth="1" min="7" max="7" width="10.43"/>
    <col customWidth="1" min="8" max="8" width="2.71"/>
    <col customWidth="1" min="9" max="65" width="5.71"/>
    <col customWidth="1" min="66" max="68" width="8.86"/>
  </cols>
  <sheetData>
    <row r="1" ht="24.75" customHeight="1">
      <c r="A1" s="15"/>
      <c r="F1" s="16"/>
    </row>
    <row r="2" ht="49.5" customHeight="1">
      <c r="A2" s="17" t="s">
        <v>0</v>
      </c>
      <c r="B2" s="127" t="s">
        <v>1</v>
      </c>
      <c r="C2" s="5"/>
      <c r="D2" s="5"/>
      <c r="E2" s="5"/>
      <c r="F2" s="5"/>
      <c r="G2" s="5"/>
      <c r="H2" s="6"/>
      <c r="I2" s="128"/>
      <c r="J2" s="5"/>
      <c r="K2" s="5"/>
      <c r="L2" s="5"/>
      <c r="M2" s="5"/>
      <c r="N2" s="6"/>
      <c r="O2" s="129"/>
      <c r="P2" s="5"/>
      <c r="Q2" s="5"/>
      <c r="R2" s="5"/>
      <c r="S2" s="5"/>
      <c r="T2" s="6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</row>
    <row r="3" ht="19.5" customHeight="1">
      <c r="A3" s="17"/>
      <c r="B3" s="22"/>
      <c r="C3" s="23"/>
      <c r="D3" s="24"/>
      <c r="E3" s="24"/>
      <c r="F3" s="25"/>
      <c r="G3" s="24"/>
      <c r="H3" s="24"/>
      <c r="I3" s="26"/>
      <c r="J3" s="27"/>
      <c r="K3" s="27"/>
      <c r="L3" s="27"/>
    </row>
    <row r="4" ht="30.0" customHeight="1">
      <c r="A4" s="17"/>
      <c r="B4" s="28" t="s">
        <v>2</v>
      </c>
      <c r="C4" s="29"/>
      <c r="D4" s="30"/>
      <c r="E4" s="31"/>
      <c r="F4" s="32"/>
      <c r="G4" s="33" t="s">
        <v>3</v>
      </c>
      <c r="H4" s="31"/>
      <c r="I4" s="34" t="s">
        <v>4</v>
      </c>
      <c r="J4" s="5"/>
      <c r="K4" s="5"/>
      <c r="L4" s="6"/>
      <c r="N4" s="35" t="s">
        <v>5</v>
      </c>
      <c r="O4" s="5"/>
      <c r="P4" s="5"/>
      <c r="Q4" s="6"/>
      <c r="S4" s="36" t="s">
        <v>6</v>
      </c>
      <c r="T4" s="5"/>
      <c r="U4" s="5"/>
      <c r="V4" s="6"/>
      <c r="X4" s="37" t="s">
        <v>7</v>
      </c>
      <c r="Y4" s="5"/>
      <c r="Z4" s="5"/>
      <c r="AA4" s="6"/>
      <c r="AC4" s="38" t="s">
        <v>8</v>
      </c>
      <c r="AD4" s="5"/>
      <c r="AE4" s="5"/>
      <c r="AF4" s="6"/>
    </row>
    <row r="5" ht="30.0" customHeight="1">
      <c r="A5" s="17" t="s">
        <v>9</v>
      </c>
      <c r="B5" s="28" t="s">
        <v>10</v>
      </c>
      <c r="C5" s="30"/>
      <c r="D5" s="30"/>
      <c r="E5" s="31"/>
      <c r="F5" s="32"/>
      <c r="G5" s="31"/>
      <c r="H5" s="31"/>
    </row>
    <row r="6" ht="30.0" customHeight="1">
      <c r="A6" s="17"/>
      <c r="B6" s="30" t="s">
        <v>11</v>
      </c>
      <c r="C6" s="39">
        <f t="array" ref="C6">IFERROR(IF(MIN(Cor!$F$10:$F$36)=0,TODAY(),B11(#NULL!)),TODAY())</f>
        <v>46101</v>
      </c>
      <c r="D6" s="39"/>
      <c r="E6" s="31"/>
      <c r="F6" s="32"/>
      <c r="G6" s="31"/>
      <c r="H6" s="31"/>
      <c r="I6" s="40" t="str">
        <f>TEXT(I7,"mmmm")</f>
        <v>março</v>
      </c>
      <c r="J6" s="40"/>
      <c r="K6" s="40"/>
      <c r="L6" s="40"/>
      <c r="M6" s="40"/>
      <c r="N6" s="40"/>
      <c r="O6" s="40"/>
      <c r="P6" s="40" t="str">
        <f>IF(TEXT(P7,"mmmm")=I6,"",TEXT(P7,"mmmm"))</f>
        <v/>
      </c>
      <c r="Q6" s="40"/>
      <c r="R6" s="40"/>
      <c r="S6" s="40"/>
      <c r="T6" s="40"/>
      <c r="U6" s="40"/>
      <c r="V6" s="40"/>
      <c r="W6" s="40" t="str">
        <f>IF(OR(TEXT(W7,"mmmm")=P6,TEXT(W7,"mmmm")=I6),"",TEXT(W7,"mmmm"))</f>
        <v>abril</v>
      </c>
      <c r="X6" s="40"/>
      <c r="Y6" s="40"/>
      <c r="Z6" s="40"/>
      <c r="AA6" s="40"/>
      <c r="AB6" s="40"/>
      <c r="AC6" s="40"/>
      <c r="AD6" s="40" t="str">
        <f>IF(OR(TEXT(AD7,"mmmm")=W6,TEXT(AD7,"mmmm")=P6,TEXT(AD7,"mmmm")=I6),"",TEXT(AD7,"mmmm"))</f>
        <v/>
      </c>
      <c r="AE6" s="40"/>
      <c r="AF6" s="40"/>
      <c r="AG6" s="40"/>
      <c r="AH6" s="40"/>
      <c r="AI6" s="40"/>
      <c r="AJ6" s="40"/>
      <c r="AK6" s="40" t="str">
        <f>IF(OR(TEXT(AK7,"mmmm")=AD6,TEXT(AK7,"mmmm")=W6,TEXT(AK7,"mmmm")=P6,TEXT(AK7,"mmmm")=I6),"",TEXT(AK7,"mmmm"))</f>
        <v/>
      </c>
      <c r="AL6" s="40"/>
      <c r="AM6" s="40"/>
      <c r="AN6" s="40"/>
      <c r="AO6" s="40"/>
      <c r="AP6" s="40"/>
      <c r="AQ6" s="40"/>
      <c r="AR6" s="40" t="str">
        <f>IF(OR(TEXT(AR7,"mmmm")=AK6,TEXT(AR7,"mmmm")=AD6,TEXT(AR7,"mmmm")=W6,TEXT(AR7,"mmmm")=P6),"",TEXT(AR7,"mmmm"))</f>
        <v/>
      </c>
      <c r="AS6" s="40"/>
      <c r="AT6" s="40"/>
      <c r="AU6" s="40"/>
      <c r="AV6" s="40"/>
      <c r="AW6" s="40"/>
      <c r="AX6" s="41"/>
      <c r="AY6" s="41" t="str">
        <f>IF(OR(TEXT(AY7,"mmmm")=AR6,TEXT(AY7,"mmmm")=AK6,TEXT(AY7,"mmmm")=AD6,TEXT(AY7,"mmmm")=W6),"",TEXT(AY7,"mmmm"))</f>
        <v>maio</v>
      </c>
      <c r="AZ6" s="41"/>
      <c r="BA6" s="41"/>
      <c r="BB6" s="42"/>
      <c r="BC6" s="43"/>
      <c r="BD6" s="43"/>
      <c r="BE6" s="43"/>
      <c r="BF6" s="43" t="str">
        <f>IF(OR(TEXT(BF7,"mmmm")=AY6,TEXT(BF7,"mmmm")=AR6,TEXT(BF7,"mmmm")=AK6,TEXT(BF7,"mmmm")=AD6),"",TEXT(BF7,"mmmm"))</f>
        <v/>
      </c>
      <c r="BG6" s="43"/>
      <c r="BH6" s="43"/>
      <c r="BI6" s="43"/>
      <c r="BJ6" s="43"/>
      <c r="BK6" s="43"/>
      <c r="BL6" s="43"/>
    </row>
    <row r="7" ht="30.0" customHeight="1">
      <c r="A7" s="17"/>
      <c r="B7" s="30" t="s">
        <v>12</v>
      </c>
      <c r="C7" s="30">
        <v>1.0</v>
      </c>
      <c r="D7" s="30"/>
      <c r="E7" s="31"/>
      <c r="F7" s="31"/>
      <c r="G7" s="31"/>
      <c r="H7" s="44"/>
      <c r="I7" s="45">
        <f>IFERROR(Cor!Projeto_Início+Cor!Incremento_de_Deslocamento,TODAY())</f>
        <v>46102</v>
      </c>
      <c r="J7" s="46">
        <f t="shared" ref="J7:BL7" si="1">I7+1</f>
        <v>46103</v>
      </c>
      <c r="K7" s="46">
        <f t="shared" si="1"/>
        <v>46104</v>
      </c>
      <c r="L7" s="46">
        <f t="shared" si="1"/>
        <v>46105</v>
      </c>
      <c r="M7" s="46">
        <f t="shared" si="1"/>
        <v>46106</v>
      </c>
      <c r="N7" s="46">
        <f t="shared" si="1"/>
        <v>46107</v>
      </c>
      <c r="O7" s="47">
        <f t="shared" si="1"/>
        <v>46108</v>
      </c>
      <c r="P7" s="46">
        <f t="shared" si="1"/>
        <v>46109</v>
      </c>
      <c r="Q7" s="46">
        <f t="shared" si="1"/>
        <v>46110</v>
      </c>
      <c r="R7" s="46">
        <f t="shared" si="1"/>
        <v>46111</v>
      </c>
      <c r="S7" s="46">
        <f t="shared" si="1"/>
        <v>46112</v>
      </c>
      <c r="T7" s="46">
        <f t="shared" si="1"/>
        <v>46113</v>
      </c>
      <c r="U7" s="46">
        <f t="shared" si="1"/>
        <v>46114</v>
      </c>
      <c r="V7" s="47">
        <f t="shared" si="1"/>
        <v>46115</v>
      </c>
      <c r="W7" s="46">
        <f t="shared" si="1"/>
        <v>46116</v>
      </c>
      <c r="X7" s="46">
        <f t="shared" si="1"/>
        <v>46117</v>
      </c>
      <c r="Y7" s="46">
        <f t="shared" si="1"/>
        <v>46118</v>
      </c>
      <c r="Z7" s="46">
        <f t="shared" si="1"/>
        <v>46119</v>
      </c>
      <c r="AA7" s="46">
        <f t="shared" si="1"/>
        <v>46120</v>
      </c>
      <c r="AB7" s="46">
        <f t="shared" si="1"/>
        <v>46121</v>
      </c>
      <c r="AC7" s="47">
        <f t="shared" si="1"/>
        <v>46122</v>
      </c>
      <c r="AD7" s="46">
        <f t="shared" si="1"/>
        <v>46123</v>
      </c>
      <c r="AE7" s="46">
        <f t="shared" si="1"/>
        <v>46124</v>
      </c>
      <c r="AF7" s="46">
        <f t="shared" si="1"/>
        <v>46125</v>
      </c>
      <c r="AG7" s="46">
        <f t="shared" si="1"/>
        <v>46126</v>
      </c>
      <c r="AH7" s="46">
        <f t="shared" si="1"/>
        <v>46127</v>
      </c>
      <c r="AI7" s="46">
        <f t="shared" si="1"/>
        <v>46128</v>
      </c>
      <c r="AJ7" s="47">
        <f t="shared" si="1"/>
        <v>46129</v>
      </c>
      <c r="AK7" s="46">
        <f t="shared" si="1"/>
        <v>46130</v>
      </c>
      <c r="AL7" s="46">
        <f t="shared" si="1"/>
        <v>46131</v>
      </c>
      <c r="AM7" s="46">
        <f t="shared" si="1"/>
        <v>46132</v>
      </c>
      <c r="AN7" s="46">
        <f t="shared" si="1"/>
        <v>46133</v>
      </c>
      <c r="AO7" s="46">
        <f t="shared" si="1"/>
        <v>46134</v>
      </c>
      <c r="AP7" s="46">
        <f t="shared" si="1"/>
        <v>46135</v>
      </c>
      <c r="AQ7" s="47">
        <f t="shared" si="1"/>
        <v>46136</v>
      </c>
      <c r="AR7" s="46">
        <f t="shared" si="1"/>
        <v>46137</v>
      </c>
      <c r="AS7" s="46">
        <f t="shared" si="1"/>
        <v>46138</v>
      </c>
      <c r="AT7" s="46">
        <f t="shared" si="1"/>
        <v>46139</v>
      </c>
      <c r="AU7" s="46">
        <f t="shared" si="1"/>
        <v>46140</v>
      </c>
      <c r="AV7" s="46">
        <f t="shared" si="1"/>
        <v>46141</v>
      </c>
      <c r="AW7" s="46">
        <f t="shared" si="1"/>
        <v>46142</v>
      </c>
      <c r="AX7" s="47">
        <f t="shared" si="1"/>
        <v>46143</v>
      </c>
      <c r="AY7" s="46">
        <f t="shared" si="1"/>
        <v>46144</v>
      </c>
      <c r="AZ7" s="46">
        <f t="shared" si="1"/>
        <v>46145</v>
      </c>
      <c r="BA7" s="46">
        <f t="shared" si="1"/>
        <v>46146</v>
      </c>
      <c r="BB7" s="46">
        <f t="shared" si="1"/>
        <v>46147</v>
      </c>
      <c r="BC7" s="46">
        <f t="shared" si="1"/>
        <v>46148</v>
      </c>
      <c r="BD7" s="46">
        <f t="shared" si="1"/>
        <v>46149</v>
      </c>
      <c r="BE7" s="47">
        <f t="shared" si="1"/>
        <v>46150</v>
      </c>
      <c r="BF7" s="46">
        <f t="shared" si="1"/>
        <v>46151</v>
      </c>
      <c r="BG7" s="46">
        <f t="shared" si="1"/>
        <v>46152</v>
      </c>
      <c r="BH7" s="46">
        <f t="shared" si="1"/>
        <v>46153</v>
      </c>
      <c r="BI7" s="46">
        <f t="shared" si="1"/>
        <v>46154</v>
      </c>
      <c r="BJ7" s="46">
        <f t="shared" si="1"/>
        <v>46155</v>
      </c>
      <c r="BK7" s="46">
        <f t="shared" si="1"/>
        <v>46156</v>
      </c>
      <c r="BL7" s="47">
        <f t="shared" si="1"/>
        <v>46157</v>
      </c>
    </row>
    <row r="8" ht="19.5" customHeight="1">
      <c r="A8" s="17"/>
      <c r="B8" s="30"/>
      <c r="C8" s="30"/>
      <c r="D8" s="30"/>
      <c r="E8" s="31"/>
      <c r="F8" s="31"/>
      <c r="G8" s="31"/>
      <c r="H8" s="44"/>
      <c r="I8" s="48"/>
      <c r="J8" s="49"/>
      <c r="K8" s="49"/>
      <c r="L8" s="49"/>
      <c r="M8" s="49"/>
      <c r="N8" s="49"/>
      <c r="O8" s="49"/>
      <c r="P8" s="50"/>
      <c r="Q8" s="49"/>
      <c r="R8" s="49"/>
      <c r="S8" s="49"/>
      <c r="T8" s="49"/>
      <c r="U8" s="49"/>
      <c r="V8" s="51"/>
      <c r="W8" s="49"/>
      <c r="X8" s="49"/>
      <c r="Y8" s="49"/>
      <c r="Z8" s="49"/>
      <c r="AA8" s="49"/>
      <c r="AB8" s="49"/>
      <c r="AC8" s="51"/>
      <c r="AD8" s="49"/>
      <c r="AE8" s="49"/>
      <c r="AF8" s="49"/>
      <c r="AG8" s="49"/>
      <c r="AH8" s="49"/>
      <c r="AI8" s="49"/>
      <c r="AJ8" s="51"/>
      <c r="AK8" s="49"/>
      <c r="AL8" s="49"/>
      <c r="AM8" s="49"/>
      <c r="AN8" s="49"/>
      <c r="AO8" s="49"/>
      <c r="AP8" s="49"/>
      <c r="AQ8" s="51"/>
      <c r="AR8" s="49"/>
      <c r="AS8" s="49"/>
      <c r="AT8" s="49"/>
      <c r="AU8" s="49"/>
      <c r="AV8" s="49"/>
      <c r="AW8" s="49"/>
      <c r="AX8" s="51"/>
      <c r="AY8" s="49"/>
      <c r="AZ8" s="49"/>
      <c r="BA8" s="49"/>
      <c r="BB8" s="49"/>
      <c r="BC8" s="49"/>
      <c r="BD8" s="49"/>
      <c r="BE8" s="51"/>
      <c r="BF8" s="49"/>
      <c r="BG8" s="49"/>
      <c r="BH8" s="49"/>
      <c r="BI8" s="49"/>
      <c r="BJ8" s="49"/>
      <c r="BK8" s="49"/>
      <c r="BL8" s="52"/>
    </row>
    <row r="9" ht="39.75" customHeight="1">
      <c r="A9" s="17" t="s">
        <v>13</v>
      </c>
      <c r="B9" s="131" t="s">
        <v>14</v>
      </c>
      <c r="C9" s="132" t="s">
        <v>15</v>
      </c>
      <c r="D9" s="132" t="s">
        <v>16</v>
      </c>
      <c r="E9" s="132" t="s">
        <v>17</v>
      </c>
      <c r="F9" s="132" t="s">
        <v>18</v>
      </c>
      <c r="G9" s="132" t="s">
        <v>19</v>
      </c>
      <c r="H9" s="55"/>
      <c r="I9" s="56" t="str">
        <f t="shared" ref="I9:BL9" si="2">LEFT(TEXT(I7,"ddd"),1)</f>
        <v>s</v>
      </c>
      <c r="J9" s="56" t="str">
        <f t="shared" si="2"/>
        <v>d</v>
      </c>
      <c r="K9" s="56" t="str">
        <f t="shared" si="2"/>
        <v>s</v>
      </c>
      <c r="L9" s="56" t="str">
        <f t="shared" si="2"/>
        <v>t</v>
      </c>
      <c r="M9" s="56" t="str">
        <f t="shared" si="2"/>
        <v>q</v>
      </c>
      <c r="N9" s="56" t="str">
        <f t="shared" si="2"/>
        <v>q</v>
      </c>
      <c r="O9" s="56" t="str">
        <f t="shared" si="2"/>
        <v>s</v>
      </c>
      <c r="P9" s="56" t="str">
        <f t="shared" si="2"/>
        <v>s</v>
      </c>
      <c r="Q9" s="56" t="str">
        <f t="shared" si="2"/>
        <v>d</v>
      </c>
      <c r="R9" s="56" t="str">
        <f t="shared" si="2"/>
        <v>s</v>
      </c>
      <c r="S9" s="56" t="str">
        <f t="shared" si="2"/>
        <v>t</v>
      </c>
      <c r="T9" s="56" t="str">
        <f t="shared" si="2"/>
        <v>q</v>
      </c>
      <c r="U9" s="56" t="str">
        <f t="shared" si="2"/>
        <v>q</v>
      </c>
      <c r="V9" s="56" t="str">
        <f t="shared" si="2"/>
        <v>s</v>
      </c>
      <c r="W9" s="56" t="str">
        <f t="shared" si="2"/>
        <v>s</v>
      </c>
      <c r="X9" s="56" t="str">
        <f t="shared" si="2"/>
        <v>d</v>
      </c>
      <c r="Y9" s="56" t="str">
        <f t="shared" si="2"/>
        <v>s</v>
      </c>
      <c r="Z9" s="56" t="str">
        <f t="shared" si="2"/>
        <v>t</v>
      </c>
      <c r="AA9" s="56" t="str">
        <f t="shared" si="2"/>
        <v>q</v>
      </c>
      <c r="AB9" s="56" t="str">
        <f t="shared" si="2"/>
        <v>q</v>
      </c>
      <c r="AC9" s="56" t="str">
        <f t="shared" si="2"/>
        <v>s</v>
      </c>
      <c r="AD9" s="56" t="str">
        <f t="shared" si="2"/>
        <v>s</v>
      </c>
      <c r="AE9" s="56" t="str">
        <f t="shared" si="2"/>
        <v>d</v>
      </c>
      <c r="AF9" s="56" t="str">
        <f t="shared" si="2"/>
        <v>s</v>
      </c>
      <c r="AG9" s="56" t="str">
        <f t="shared" si="2"/>
        <v>t</v>
      </c>
      <c r="AH9" s="56" t="str">
        <f t="shared" si="2"/>
        <v>q</v>
      </c>
      <c r="AI9" s="56" t="str">
        <f t="shared" si="2"/>
        <v>q</v>
      </c>
      <c r="AJ9" s="56" t="str">
        <f t="shared" si="2"/>
        <v>s</v>
      </c>
      <c r="AK9" s="56" t="str">
        <f t="shared" si="2"/>
        <v>s</v>
      </c>
      <c r="AL9" s="56" t="str">
        <f t="shared" si="2"/>
        <v>d</v>
      </c>
      <c r="AM9" s="56" t="str">
        <f t="shared" si="2"/>
        <v>s</v>
      </c>
      <c r="AN9" s="56" t="str">
        <f t="shared" si="2"/>
        <v>t</v>
      </c>
      <c r="AO9" s="56" t="str">
        <f t="shared" si="2"/>
        <v>q</v>
      </c>
      <c r="AP9" s="56" t="str">
        <f t="shared" si="2"/>
        <v>q</v>
      </c>
      <c r="AQ9" s="56" t="str">
        <f t="shared" si="2"/>
        <v>s</v>
      </c>
      <c r="AR9" s="56" t="str">
        <f t="shared" si="2"/>
        <v>s</v>
      </c>
      <c r="AS9" s="56" t="str">
        <f t="shared" si="2"/>
        <v>d</v>
      </c>
      <c r="AT9" s="56" t="str">
        <f t="shared" si="2"/>
        <v>s</v>
      </c>
      <c r="AU9" s="56" t="str">
        <f t="shared" si="2"/>
        <v>t</v>
      </c>
      <c r="AV9" s="56" t="str">
        <f t="shared" si="2"/>
        <v>q</v>
      </c>
      <c r="AW9" s="56" t="str">
        <f t="shared" si="2"/>
        <v>q</v>
      </c>
      <c r="AX9" s="56" t="str">
        <f t="shared" si="2"/>
        <v>s</v>
      </c>
      <c r="AY9" s="56" t="str">
        <f t="shared" si="2"/>
        <v>s</v>
      </c>
      <c r="AZ9" s="56" t="str">
        <f t="shared" si="2"/>
        <v>d</v>
      </c>
      <c r="BA9" s="56" t="str">
        <f t="shared" si="2"/>
        <v>s</v>
      </c>
      <c r="BB9" s="56" t="str">
        <f t="shared" si="2"/>
        <v>t</v>
      </c>
      <c r="BC9" s="56" t="str">
        <f t="shared" si="2"/>
        <v>q</v>
      </c>
      <c r="BD9" s="56" t="str">
        <f t="shared" si="2"/>
        <v>q</v>
      </c>
      <c r="BE9" s="56" t="str">
        <f t="shared" si="2"/>
        <v>s</v>
      </c>
      <c r="BF9" s="56" t="str">
        <f t="shared" si="2"/>
        <v>s</v>
      </c>
      <c r="BG9" s="56" t="str">
        <f t="shared" si="2"/>
        <v>d</v>
      </c>
      <c r="BH9" s="56" t="str">
        <f t="shared" si="2"/>
        <v>s</v>
      </c>
      <c r="BI9" s="56" t="str">
        <f t="shared" si="2"/>
        <v>t</v>
      </c>
      <c r="BJ9" s="56" t="str">
        <f t="shared" si="2"/>
        <v>q</v>
      </c>
      <c r="BK9" s="56" t="str">
        <f t="shared" si="2"/>
        <v>q</v>
      </c>
      <c r="BL9" s="56" t="str">
        <f t="shared" si="2"/>
        <v>s</v>
      </c>
    </row>
    <row r="10" ht="30.0" hidden="1" customHeight="1">
      <c r="A10" s="15"/>
      <c r="B10" s="57"/>
      <c r="C10" s="58"/>
      <c r="D10" s="59"/>
      <c r="E10" s="58"/>
      <c r="F10" s="60"/>
      <c r="G10" s="61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</row>
    <row r="11" ht="39.75" customHeight="1">
      <c r="A11" s="17" t="s">
        <v>20</v>
      </c>
      <c r="B11" s="63" t="s">
        <v>21</v>
      </c>
      <c r="C11" s="64"/>
      <c r="D11" s="64"/>
      <c r="E11" s="65"/>
      <c r="F11" s="66"/>
      <c r="G11" s="67"/>
      <c r="H11" s="64"/>
      <c r="I11" s="68" t="str">
        <f t="shared" ref="I11:BL11" si="3">IF(AND($C11="Objetivo",I$7&gt;=$F11,I$7&lt;=$F11+$G11-1),2,IF(AND($C11="Marco",I$7&gt;=$F11,I$7&lt;=$F11+$G11-1),1,""))</f>
        <v/>
      </c>
      <c r="J11" s="68" t="str">
        <f t="shared" si="3"/>
        <v/>
      </c>
      <c r="K11" s="68" t="str">
        <f t="shared" si="3"/>
        <v/>
      </c>
      <c r="L11" s="68" t="str">
        <f t="shared" si="3"/>
        <v/>
      </c>
      <c r="M11" s="68" t="str">
        <f t="shared" si="3"/>
        <v/>
      </c>
      <c r="N11" s="68" t="str">
        <f t="shared" si="3"/>
        <v/>
      </c>
      <c r="O11" s="68" t="str">
        <f t="shared" si="3"/>
        <v/>
      </c>
      <c r="P11" s="68" t="str">
        <f t="shared" si="3"/>
        <v/>
      </c>
      <c r="Q11" s="68" t="str">
        <f t="shared" si="3"/>
        <v/>
      </c>
      <c r="R11" s="68" t="str">
        <f t="shared" si="3"/>
        <v/>
      </c>
      <c r="S11" s="68" t="str">
        <f t="shared" si="3"/>
        <v/>
      </c>
      <c r="T11" s="68" t="str">
        <f t="shared" si="3"/>
        <v/>
      </c>
      <c r="U11" s="68" t="str">
        <f t="shared" si="3"/>
        <v/>
      </c>
      <c r="V11" s="68" t="str">
        <f t="shared" si="3"/>
        <v/>
      </c>
      <c r="W11" s="68" t="str">
        <f t="shared" si="3"/>
        <v/>
      </c>
      <c r="X11" s="68" t="str">
        <f t="shared" si="3"/>
        <v/>
      </c>
      <c r="Y11" s="68" t="str">
        <f t="shared" si="3"/>
        <v/>
      </c>
      <c r="Z11" s="68" t="str">
        <f t="shared" si="3"/>
        <v/>
      </c>
      <c r="AA11" s="68" t="str">
        <f t="shared" si="3"/>
        <v/>
      </c>
      <c r="AB11" s="68" t="str">
        <f t="shared" si="3"/>
        <v/>
      </c>
      <c r="AC11" s="68" t="str">
        <f t="shared" si="3"/>
        <v/>
      </c>
      <c r="AD11" s="68" t="str">
        <f t="shared" si="3"/>
        <v/>
      </c>
      <c r="AE11" s="68" t="str">
        <f t="shared" si="3"/>
        <v/>
      </c>
      <c r="AF11" s="68" t="str">
        <f t="shared" si="3"/>
        <v/>
      </c>
      <c r="AG11" s="68" t="str">
        <f t="shared" si="3"/>
        <v/>
      </c>
      <c r="AH11" s="68" t="str">
        <f t="shared" si="3"/>
        <v/>
      </c>
      <c r="AI11" s="68" t="str">
        <f t="shared" si="3"/>
        <v/>
      </c>
      <c r="AJ11" s="68" t="str">
        <f t="shared" si="3"/>
        <v/>
      </c>
      <c r="AK11" s="68" t="str">
        <f t="shared" si="3"/>
        <v/>
      </c>
      <c r="AL11" s="68" t="str">
        <f t="shared" si="3"/>
        <v/>
      </c>
      <c r="AM11" s="68" t="str">
        <f t="shared" si="3"/>
        <v/>
      </c>
      <c r="AN11" s="68" t="str">
        <f t="shared" si="3"/>
        <v/>
      </c>
      <c r="AO11" s="68" t="str">
        <f t="shared" si="3"/>
        <v/>
      </c>
      <c r="AP11" s="68" t="str">
        <f t="shared" si="3"/>
        <v/>
      </c>
      <c r="AQ11" s="68" t="str">
        <f t="shared" si="3"/>
        <v/>
      </c>
      <c r="AR11" s="68" t="str">
        <f t="shared" si="3"/>
        <v/>
      </c>
      <c r="AS11" s="68" t="str">
        <f t="shared" si="3"/>
        <v/>
      </c>
      <c r="AT11" s="68" t="str">
        <f t="shared" si="3"/>
        <v/>
      </c>
      <c r="AU11" s="68" t="str">
        <f t="shared" si="3"/>
        <v/>
      </c>
      <c r="AV11" s="68" t="str">
        <f t="shared" si="3"/>
        <v/>
      </c>
      <c r="AW11" s="68" t="str">
        <f t="shared" si="3"/>
        <v/>
      </c>
      <c r="AX11" s="68" t="str">
        <f t="shared" si="3"/>
        <v/>
      </c>
      <c r="AY11" s="68" t="str">
        <f t="shared" si="3"/>
        <v/>
      </c>
      <c r="AZ11" s="68" t="str">
        <f t="shared" si="3"/>
        <v/>
      </c>
      <c r="BA11" s="68" t="str">
        <f t="shared" si="3"/>
        <v/>
      </c>
      <c r="BB11" s="68" t="str">
        <f t="shared" si="3"/>
        <v/>
      </c>
      <c r="BC11" s="68" t="str">
        <f t="shared" si="3"/>
        <v/>
      </c>
      <c r="BD11" s="68" t="str">
        <f t="shared" si="3"/>
        <v/>
      </c>
      <c r="BE11" s="68" t="str">
        <f t="shared" si="3"/>
        <v/>
      </c>
      <c r="BF11" s="68" t="str">
        <f t="shared" si="3"/>
        <v/>
      </c>
      <c r="BG11" s="68" t="str">
        <f t="shared" si="3"/>
        <v/>
      </c>
      <c r="BH11" s="68" t="str">
        <f t="shared" si="3"/>
        <v/>
      </c>
      <c r="BI11" s="68" t="str">
        <f t="shared" si="3"/>
        <v/>
      </c>
      <c r="BJ11" s="68" t="str">
        <f t="shared" si="3"/>
        <v/>
      </c>
      <c r="BK11" s="68" t="str">
        <f t="shared" si="3"/>
        <v/>
      </c>
      <c r="BL11" s="68" t="str">
        <f t="shared" si="3"/>
        <v/>
      </c>
      <c r="BM11" s="27"/>
      <c r="BN11" s="27"/>
      <c r="BO11" s="27"/>
      <c r="BP11" s="69"/>
    </row>
    <row r="12" ht="39.75" customHeight="1">
      <c r="A12" s="17"/>
      <c r="B12" s="70" t="s">
        <v>22</v>
      </c>
      <c r="C12" s="64" t="s">
        <v>23</v>
      </c>
      <c r="D12" s="64" t="s">
        <v>24</v>
      </c>
      <c r="E12" s="65">
        <v>0.25</v>
      </c>
      <c r="F12" s="66">
        <f>TODAY()</f>
        <v>46101</v>
      </c>
      <c r="G12" s="67">
        <v>3.0</v>
      </c>
      <c r="H12" s="64"/>
      <c r="I12" s="68">
        <f t="shared" ref="I12:BL12" si="4">IF(AND($C12="Objetivo",I$7&gt;=$F12,I$7&lt;=$F12+$G12-1),2,IF(AND($C12="Marco",I$7&gt;=$F12,I$7&lt;=$F12+$G12-1),1,""))</f>
        <v>2</v>
      </c>
      <c r="J12" s="68">
        <f t="shared" si="4"/>
        <v>2</v>
      </c>
      <c r="K12" s="68" t="str">
        <f t="shared" si="4"/>
        <v/>
      </c>
      <c r="L12" s="68" t="str">
        <f t="shared" si="4"/>
        <v/>
      </c>
      <c r="M12" s="68" t="str">
        <f t="shared" si="4"/>
        <v/>
      </c>
      <c r="N12" s="68" t="str">
        <f t="shared" si="4"/>
        <v/>
      </c>
      <c r="O12" s="68" t="str">
        <f t="shared" si="4"/>
        <v/>
      </c>
      <c r="P12" s="68" t="str">
        <f t="shared" si="4"/>
        <v/>
      </c>
      <c r="Q12" s="68" t="str">
        <f t="shared" si="4"/>
        <v/>
      </c>
      <c r="R12" s="68" t="str">
        <f t="shared" si="4"/>
        <v/>
      </c>
      <c r="S12" s="68" t="str">
        <f t="shared" si="4"/>
        <v/>
      </c>
      <c r="T12" s="68" t="str">
        <f t="shared" si="4"/>
        <v/>
      </c>
      <c r="U12" s="68" t="str">
        <f t="shared" si="4"/>
        <v/>
      </c>
      <c r="V12" s="68" t="str">
        <f t="shared" si="4"/>
        <v/>
      </c>
      <c r="W12" s="68" t="str">
        <f t="shared" si="4"/>
        <v/>
      </c>
      <c r="X12" s="68" t="str">
        <f t="shared" si="4"/>
        <v/>
      </c>
      <c r="Y12" s="68" t="str">
        <f t="shared" si="4"/>
        <v/>
      </c>
      <c r="Z12" s="68" t="str">
        <f t="shared" si="4"/>
        <v/>
      </c>
      <c r="AA12" s="68" t="str">
        <f t="shared" si="4"/>
        <v/>
      </c>
      <c r="AB12" s="68" t="str">
        <f t="shared" si="4"/>
        <v/>
      </c>
      <c r="AC12" s="68" t="str">
        <f t="shared" si="4"/>
        <v/>
      </c>
      <c r="AD12" s="68" t="str">
        <f t="shared" si="4"/>
        <v/>
      </c>
      <c r="AE12" s="68" t="str">
        <f t="shared" si="4"/>
        <v/>
      </c>
      <c r="AF12" s="68" t="str">
        <f t="shared" si="4"/>
        <v/>
      </c>
      <c r="AG12" s="68" t="str">
        <f t="shared" si="4"/>
        <v/>
      </c>
      <c r="AH12" s="68" t="str">
        <f t="shared" si="4"/>
        <v/>
      </c>
      <c r="AI12" s="68" t="str">
        <f t="shared" si="4"/>
        <v/>
      </c>
      <c r="AJ12" s="68" t="str">
        <f t="shared" si="4"/>
        <v/>
      </c>
      <c r="AK12" s="68" t="str">
        <f t="shared" si="4"/>
        <v/>
      </c>
      <c r="AL12" s="68" t="str">
        <f t="shared" si="4"/>
        <v/>
      </c>
      <c r="AM12" s="68" t="str">
        <f t="shared" si="4"/>
        <v/>
      </c>
      <c r="AN12" s="68" t="str">
        <f t="shared" si="4"/>
        <v/>
      </c>
      <c r="AO12" s="68" t="str">
        <f t="shared" si="4"/>
        <v/>
      </c>
      <c r="AP12" s="68" t="str">
        <f t="shared" si="4"/>
        <v/>
      </c>
      <c r="AQ12" s="68" t="str">
        <f t="shared" si="4"/>
        <v/>
      </c>
      <c r="AR12" s="68" t="str">
        <f t="shared" si="4"/>
        <v/>
      </c>
      <c r="AS12" s="68" t="str">
        <f t="shared" si="4"/>
        <v/>
      </c>
      <c r="AT12" s="68" t="str">
        <f t="shared" si="4"/>
        <v/>
      </c>
      <c r="AU12" s="68" t="str">
        <f t="shared" si="4"/>
        <v/>
      </c>
      <c r="AV12" s="68" t="str">
        <f t="shared" si="4"/>
        <v/>
      </c>
      <c r="AW12" s="68" t="str">
        <f t="shared" si="4"/>
        <v/>
      </c>
      <c r="AX12" s="68" t="str">
        <f t="shared" si="4"/>
        <v/>
      </c>
      <c r="AY12" s="68" t="str">
        <f t="shared" si="4"/>
        <v/>
      </c>
      <c r="AZ12" s="68" t="str">
        <f t="shared" si="4"/>
        <v/>
      </c>
      <c r="BA12" s="68" t="str">
        <f t="shared" si="4"/>
        <v/>
      </c>
      <c r="BB12" s="68" t="str">
        <f t="shared" si="4"/>
        <v/>
      </c>
      <c r="BC12" s="68" t="str">
        <f t="shared" si="4"/>
        <v/>
      </c>
      <c r="BD12" s="68" t="str">
        <f t="shared" si="4"/>
        <v/>
      </c>
      <c r="BE12" s="68" t="str">
        <f t="shared" si="4"/>
        <v/>
      </c>
      <c r="BF12" s="68" t="str">
        <f t="shared" si="4"/>
        <v/>
      </c>
      <c r="BG12" s="68" t="str">
        <f t="shared" si="4"/>
        <v/>
      </c>
      <c r="BH12" s="68" t="str">
        <f t="shared" si="4"/>
        <v/>
      </c>
      <c r="BI12" s="68" t="str">
        <f t="shared" si="4"/>
        <v/>
      </c>
      <c r="BJ12" s="68" t="str">
        <f t="shared" si="4"/>
        <v/>
      </c>
      <c r="BK12" s="68" t="str">
        <f t="shared" si="4"/>
        <v/>
      </c>
      <c r="BL12" s="68" t="str">
        <f t="shared" si="4"/>
        <v/>
      </c>
      <c r="BM12" s="27"/>
      <c r="BN12" s="27"/>
      <c r="BO12" s="27"/>
      <c r="BP12" s="27"/>
    </row>
    <row r="13" ht="39.75" customHeight="1">
      <c r="A13" s="17"/>
      <c r="B13" s="70" t="s">
        <v>25</v>
      </c>
      <c r="C13" s="64" t="s">
        <v>26</v>
      </c>
      <c r="D13" s="64"/>
      <c r="E13" s="65"/>
      <c r="F13" s="66">
        <f>TODAY()+5</f>
        <v>46106</v>
      </c>
      <c r="G13" s="67">
        <v>1.0</v>
      </c>
      <c r="H13" s="64"/>
      <c r="I13" s="68" t="str">
        <f t="shared" ref="I13:BL13" si="5">IF(AND($C13="Objetivo",I$7&gt;=$F13,I$7&lt;=$F13+$G13-1),2,IF(AND($C13="Marco",I$7&gt;=$F13,I$7&lt;=$F13+$G13-1),1,""))</f>
        <v/>
      </c>
      <c r="J13" s="68" t="str">
        <f t="shared" si="5"/>
        <v/>
      </c>
      <c r="K13" s="68" t="str">
        <f t="shared" si="5"/>
        <v/>
      </c>
      <c r="L13" s="68" t="str">
        <f t="shared" si="5"/>
        <v/>
      </c>
      <c r="M13" s="68">
        <f t="shared" si="5"/>
        <v>1</v>
      </c>
      <c r="N13" s="68" t="str">
        <f t="shared" si="5"/>
        <v/>
      </c>
      <c r="O13" s="68" t="str">
        <f t="shared" si="5"/>
        <v/>
      </c>
      <c r="P13" s="68" t="str">
        <f t="shared" si="5"/>
        <v/>
      </c>
      <c r="Q13" s="68" t="str">
        <f t="shared" si="5"/>
        <v/>
      </c>
      <c r="R13" s="68" t="str">
        <f t="shared" si="5"/>
        <v/>
      </c>
      <c r="S13" s="68" t="str">
        <f t="shared" si="5"/>
        <v/>
      </c>
      <c r="T13" s="68" t="str">
        <f t="shared" si="5"/>
        <v/>
      </c>
      <c r="U13" s="68" t="str">
        <f t="shared" si="5"/>
        <v/>
      </c>
      <c r="V13" s="68" t="str">
        <f t="shared" si="5"/>
        <v/>
      </c>
      <c r="W13" s="68" t="str">
        <f t="shared" si="5"/>
        <v/>
      </c>
      <c r="X13" s="68" t="str">
        <f t="shared" si="5"/>
        <v/>
      </c>
      <c r="Y13" s="68" t="str">
        <f t="shared" si="5"/>
        <v/>
      </c>
      <c r="Z13" s="68" t="str">
        <f t="shared" si="5"/>
        <v/>
      </c>
      <c r="AA13" s="68" t="str">
        <f t="shared" si="5"/>
        <v/>
      </c>
      <c r="AB13" s="68" t="str">
        <f t="shared" si="5"/>
        <v/>
      </c>
      <c r="AC13" s="68" t="str">
        <f t="shared" si="5"/>
        <v/>
      </c>
      <c r="AD13" s="68" t="str">
        <f t="shared" si="5"/>
        <v/>
      </c>
      <c r="AE13" s="68" t="str">
        <f t="shared" si="5"/>
        <v/>
      </c>
      <c r="AF13" s="68" t="str">
        <f t="shared" si="5"/>
        <v/>
      </c>
      <c r="AG13" s="68" t="str">
        <f t="shared" si="5"/>
        <v/>
      </c>
      <c r="AH13" s="68" t="str">
        <f t="shared" si="5"/>
        <v/>
      </c>
      <c r="AI13" s="68" t="str">
        <f t="shared" si="5"/>
        <v/>
      </c>
      <c r="AJ13" s="68" t="str">
        <f t="shared" si="5"/>
        <v/>
      </c>
      <c r="AK13" s="68" t="str">
        <f t="shared" si="5"/>
        <v/>
      </c>
      <c r="AL13" s="68" t="str">
        <f t="shared" si="5"/>
        <v/>
      </c>
      <c r="AM13" s="68" t="str">
        <f t="shared" si="5"/>
        <v/>
      </c>
      <c r="AN13" s="68" t="str">
        <f t="shared" si="5"/>
        <v/>
      </c>
      <c r="AO13" s="68" t="str">
        <f t="shared" si="5"/>
        <v/>
      </c>
      <c r="AP13" s="68" t="str">
        <f t="shared" si="5"/>
        <v/>
      </c>
      <c r="AQ13" s="68" t="str">
        <f t="shared" si="5"/>
        <v/>
      </c>
      <c r="AR13" s="68" t="str">
        <f t="shared" si="5"/>
        <v/>
      </c>
      <c r="AS13" s="68" t="str">
        <f t="shared" si="5"/>
        <v/>
      </c>
      <c r="AT13" s="68" t="str">
        <f t="shared" si="5"/>
        <v/>
      </c>
      <c r="AU13" s="68" t="str">
        <f t="shared" si="5"/>
        <v/>
      </c>
      <c r="AV13" s="68" t="str">
        <f t="shared" si="5"/>
        <v/>
      </c>
      <c r="AW13" s="68" t="str">
        <f t="shared" si="5"/>
        <v/>
      </c>
      <c r="AX13" s="68" t="str">
        <f t="shared" si="5"/>
        <v/>
      </c>
      <c r="AY13" s="68" t="str">
        <f t="shared" si="5"/>
        <v/>
      </c>
      <c r="AZ13" s="68" t="str">
        <f t="shared" si="5"/>
        <v/>
      </c>
      <c r="BA13" s="68" t="str">
        <f t="shared" si="5"/>
        <v/>
      </c>
      <c r="BB13" s="68" t="str">
        <f t="shared" si="5"/>
        <v/>
      </c>
      <c r="BC13" s="68" t="str">
        <f t="shared" si="5"/>
        <v/>
      </c>
      <c r="BD13" s="68" t="str">
        <f t="shared" si="5"/>
        <v/>
      </c>
      <c r="BE13" s="68" t="str">
        <f t="shared" si="5"/>
        <v/>
      </c>
      <c r="BF13" s="68" t="str">
        <f t="shared" si="5"/>
        <v/>
      </c>
      <c r="BG13" s="68" t="str">
        <f t="shared" si="5"/>
        <v/>
      </c>
      <c r="BH13" s="68" t="str">
        <f t="shared" si="5"/>
        <v/>
      </c>
      <c r="BI13" s="68" t="str">
        <f t="shared" si="5"/>
        <v/>
      </c>
      <c r="BJ13" s="68" t="str">
        <f t="shared" si="5"/>
        <v/>
      </c>
      <c r="BK13" s="68" t="str">
        <f t="shared" si="5"/>
        <v/>
      </c>
      <c r="BL13" s="68" t="str">
        <f t="shared" si="5"/>
        <v/>
      </c>
      <c r="BM13" s="27"/>
      <c r="BN13" s="27"/>
      <c r="BO13" s="27"/>
      <c r="BP13" s="27"/>
    </row>
    <row r="14" ht="39.75" customHeight="1">
      <c r="A14" s="15"/>
      <c r="B14" s="70" t="s">
        <v>27</v>
      </c>
      <c r="C14" s="64" t="s">
        <v>28</v>
      </c>
      <c r="D14" s="64"/>
      <c r="E14" s="65">
        <v>0.5</v>
      </c>
      <c r="F14" s="66">
        <f>F12-3</f>
        <v>46098</v>
      </c>
      <c r="G14" s="67">
        <v>10.0</v>
      </c>
      <c r="H14" s="64"/>
      <c r="I14" s="68" t="str">
        <f t="shared" ref="I14:BL14" si="6">IF(AND($C14="Objetivo",I$7&gt;=$F14,I$7&lt;=$F14+$G14-1),2,IF(AND($C14="Marco",I$7&gt;=$F14,I$7&lt;=$F14+$G14-1),1,""))</f>
        <v/>
      </c>
      <c r="J14" s="68" t="str">
        <f t="shared" si="6"/>
        <v/>
      </c>
      <c r="K14" s="68" t="str">
        <f t="shared" si="6"/>
        <v/>
      </c>
      <c r="L14" s="68" t="str">
        <f t="shared" si="6"/>
        <v/>
      </c>
      <c r="M14" s="68" t="str">
        <f t="shared" si="6"/>
        <v/>
      </c>
      <c r="N14" s="68" t="str">
        <f t="shared" si="6"/>
        <v/>
      </c>
      <c r="O14" s="68" t="str">
        <f t="shared" si="6"/>
        <v/>
      </c>
      <c r="P14" s="68" t="str">
        <f t="shared" si="6"/>
        <v/>
      </c>
      <c r="Q14" s="68" t="str">
        <f t="shared" si="6"/>
        <v/>
      </c>
      <c r="R14" s="68" t="str">
        <f t="shared" si="6"/>
        <v/>
      </c>
      <c r="S14" s="68" t="str">
        <f t="shared" si="6"/>
        <v/>
      </c>
      <c r="T14" s="68" t="str">
        <f t="shared" si="6"/>
        <v/>
      </c>
      <c r="U14" s="68" t="str">
        <f t="shared" si="6"/>
        <v/>
      </c>
      <c r="V14" s="68" t="str">
        <f t="shared" si="6"/>
        <v/>
      </c>
      <c r="W14" s="68" t="str">
        <f t="shared" si="6"/>
        <v/>
      </c>
      <c r="X14" s="68" t="str">
        <f t="shared" si="6"/>
        <v/>
      </c>
      <c r="Y14" s="68" t="str">
        <f t="shared" si="6"/>
        <v/>
      </c>
      <c r="Z14" s="68" t="str">
        <f t="shared" si="6"/>
        <v/>
      </c>
      <c r="AA14" s="68" t="str">
        <f t="shared" si="6"/>
        <v/>
      </c>
      <c r="AB14" s="68" t="str">
        <f t="shared" si="6"/>
        <v/>
      </c>
      <c r="AC14" s="68" t="str">
        <f t="shared" si="6"/>
        <v/>
      </c>
      <c r="AD14" s="68" t="str">
        <f t="shared" si="6"/>
        <v/>
      </c>
      <c r="AE14" s="68" t="str">
        <f t="shared" si="6"/>
        <v/>
      </c>
      <c r="AF14" s="68" t="str">
        <f t="shared" si="6"/>
        <v/>
      </c>
      <c r="AG14" s="68" t="str">
        <f t="shared" si="6"/>
        <v/>
      </c>
      <c r="AH14" s="68" t="str">
        <f t="shared" si="6"/>
        <v/>
      </c>
      <c r="AI14" s="68" t="str">
        <f t="shared" si="6"/>
        <v/>
      </c>
      <c r="AJ14" s="68" t="str">
        <f t="shared" si="6"/>
        <v/>
      </c>
      <c r="AK14" s="68" t="str">
        <f t="shared" si="6"/>
        <v/>
      </c>
      <c r="AL14" s="68" t="str">
        <f t="shared" si="6"/>
        <v/>
      </c>
      <c r="AM14" s="68" t="str">
        <f t="shared" si="6"/>
        <v/>
      </c>
      <c r="AN14" s="68" t="str">
        <f t="shared" si="6"/>
        <v/>
      </c>
      <c r="AO14" s="68" t="str">
        <f t="shared" si="6"/>
        <v/>
      </c>
      <c r="AP14" s="68" t="str">
        <f t="shared" si="6"/>
        <v/>
      </c>
      <c r="AQ14" s="68" t="str">
        <f t="shared" si="6"/>
        <v/>
      </c>
      <c r="AR14" s="68" t="str">
        <f t="shared" si="6"/>
        <v/>
      </c>
      <c r="AS14" s="68" t="str">
        <f t="shared" si="6"/>
        <v/>
      </c>
      <c r="AT14" s="68" t="str">
        <f t="shared" si="6"/>
        <v/>
      </c>
      <c r="AU14" s="68" t="str">
        <f t="shared" si="6"/>
        <v/>
      </c>
      <c r="AV14" s="68" t="str">
        <f t="shared" si="6"/>
        <v/>
      </c>
      <c r="AW14" s="68" t="str">
        <f t="shared" si="6"/>
        <v/>
      </c>
      <c r="AX14" s="68" t="str">
        <f t="shared" si="6"/>
        <v/>
      </c>
      <c r="AY14" s="68" t="str">
        <f t="shared" si="6"/>
        <v/>
      </c>
      <c r="AZ14" s="68" t="str">
        <f t="shared" si="6"/>
        <v/>
      </c>
      <c r="BA14" s="68" t="str">
        <f t="shared" si="6"/>
        <v/>
      </c>
      <c r="BB14" s="68" t="str">
        <f t="shared" si="6"/>
        <v/>
      </c>
      <c r="BC14" s="68" t="str">
        <f t="shared" si="6"/>
        <v/>
      </c>
      <c r="BD14" s="68" t="str">
        <f t="shared" si="6"/>
        <v/>
      </c>
      <c r="BE14" s="68" t="str">
        <f t="shared" si="6"/>
        <v/>
      </c>
      <c r="BF14" s="68" t="str">
        <f t="shared" si="6"/>
        <v/>
      </c>
      <c r="BG14" s="68" t="str">
        <f t="shared" si="6"/>
        <v/>
      </c>
      <c r="BH14" s="68" t="str">
        <f t="shared" si="6"/>
        <v/>
      </c>
      <c r="BI14" s="68" t="str">
        <f t="shared" si="6"/>
        <v/>
      </c>
      <c r="BJ14" s="68" t="str">
        <f t="shared" si="6"/>
        <v/>
      </c>
      <c r="BK14" s="68" t="str">
        <f t="shared" si="6"/>
        <v/>
      </c>
      <c r="BL14" s="68" t="str">
        <f t="shared" si="6"/>
        <v/>
      </c>
      <c r="BM14" s="27"/>
      <c r="BN14" s="27"/>
      <c r="BO14" s="27"/>
      <c r="BP14" s="27"/>
    </row>
    <row r="15" ht="39.75" customHeight="1">
      <c r="A15" s="15"/>
      <c r="B15" s="70" t="s">
        <v>29</v>
      </c>
      <c r="C15" s="64" t="s">
        <v>26</v>
      </c>
      <c r="D15" s="64"/>
      <c r="E15" s="65"/>
      <c r="F15" s="66">
        <f>F12+20</f>
        <v>46121</v>
      </c>
      <c r="G15" s="67">
        <v>1.0</v>
      </c>
      <c r="H15" s="64"/>
      <c r="I15" s="68" t="str">
        <f t="shared" ref="I15:BL15" si="7">IF(AND($C15="Objetivo",I$7&gt;=$F15,I$7&lt;=$F15+$G15-1),2,IF(AND($C15="Marco",I$7&gt;=$F15,I$7&lt;=$F15+$G15-1),1,""))</f>
        <v/>
      </c>
      <c r="J15" s="68" t="str">
        <f t="shared" si="7"/>
        <v/>
      </c>
      <c r="K15" s="68" t="str">
        <f t="shared" si="7"/>
        <v/>
      </c>
      <c r="L15" s="68" t="str">
        <f t="shared" si="7"/>
        <v/>
      </c>
      <c r="M15" s="68" t="str">
        <f t="shared" si="7"/>
        <v/>
      </c>
      <c r="N15" s="68" t="str">
        <f t="shared" si="7"/>
        <v/>
      </c>
      <c r="O15" s="68" t="str">
        <f t="shared" si="7"/>
        <v/>
      </c>
      <c r="P15" s="68" t="str">
        <f t="shared" si="7"/>
        <v/>
      </c>
      <c r="Q15" s="68" t="str">
        <f t="shared" si="7"/>
        <v/>
      </c>
      <c r="R15" s="68" t="str">
        <f t="shared" si="7"/>
        <v/>
      </c>
      <c r="S15" s="68" t="str">
        <f t="shared" si="7"/>
        <v/>
      </c>
      <c r="T15" s="68" t="str">
        <f t="shared" si="7"/>
        <v/>
      </c>
      <c r="U15" s="68" t="str">
        <f t="shared" si="7"/>
        <v/>
      </c>
      <c r="V15" s="68" t="str">
        <f t="shared" si="7"/>
        <v/>
      </c>
      <c r="W15" s="68" t="str">
        <f t="shared" si="7"/>
        <v/>
      </c>
      <c r="X15" s="68" t="str">
        <f t="shared" si="7"/>
        <v/>
      </c>
      <c r="Y15" s="68" t="str">
        <f t="shared" si="7"/>
        <v/>
      </c>
      <c r="Z15" s="68" t="str">
        <f t="shared" si="7"/>
        <v/>
      </c>
      <c r="AA15" s="68" t="str">
        <f t="shared" si="7"/>
        <v/>
      </c>
      <c r="AB15" s="68">
        <f t="shared" si="7"/>
        <v>1</v>
      </c>
      <c r="AC15" s="68" t="str">
        <f t="shared" si="7"/>
        <v/>
      </c>
      <c r="AD15" s="68" t="str">
        <f t="shared" si="7"/>
        <v/>
      </c>
      <c r="AE15" s="68" t="str">
        <f t="shared" si="7"/>
        <v/>
      </c>
      <c r="AF15" s="68" t="str">
        <f t="shared" si="7"/>
        <v/>
      </c>
      <c r="AG15" s="68" t="str">
        <f t="shared" si="7"/>
        <v/>
      </c>
      <c r="AH15" s="68" t="str">
        <f t="shared" si="7"/>
        <v/>
      </c>
      <c r="AI15" s="68" t="str">
        <f t="shared" si="7"/>
        <v/>
      </c>
      <c r="AJ15" s="68" t="str">
        <f t="shared" si="7"/>
        <v/>
      </c>
      <c r="AK15" s="68" t="str">
        <f t="shared" si="7"/>
        <v/>
      </c>
      <c r="AL15" s="68" t="str">
        <f t="shared" si="7"/>
        <v/>
      </c>
      <c r="AM15" s="68" t="str">
        <f t="shared" si="7"/>
        <v/>
      </c>
      <c r="AN15" s="68" t="str">
        <f t="shared" si="7"/>
        <v/>
      </c>
      <c r="AO15" s="68" t="str">
        <f t="shared" si="7"/>
        <v/>
      </c>
      <c r="AP15" s="68" t="str">
        <f t="shared" si="7"/>
        <v/>
      </c>
      <c r="AQ15" s="68" t="str">
        <f t="shared" si="7"/>
        <v/>
      </c>
      <c r="AR15" s="68" t="str">
        <f t="shared" si="7"/>
        <v/>
      </c>
      <c r="AS15" s="68" t="str">
        <f t="shared" si="7"/>
        <v/>
      </c>
      <c r="AT15" s="68" t="str">
        <f t="shared" si="7"/>
        <v/>
      </c>
      <c r="AU15" s="68" t="str">
        <f t="shared" si="7"/>
        <v/>
      </c>
      <c r="AV15" s="68" t="str">
        <f t="shared" si="7"/>
        <v/>
      </c>
      <c r="AW15" s="68" t="str">
        <f t="shared" si="7"/>
        <v/>
      </c>
      <c r="AX15" s="68" t="str">
        <f t="shared" si="7"/>
        <v/>
      </c>
      <c r="AY15" s="68" t="str">
        <f t="shared" si="7"/>
        <v/>
      </c>
      <c r="AZ15" s="68" t="str">
        <f t="shared" si="7"/>
        <v/>
      </c>
      <c r="BA15" s="68" t="str">
        <f t="shared" si="7"/>
        <v/>
      </c>
      <c r="BB15" s="68" t="str">
        <f t="shared" si="7"/>
        <v/>
      </c>
      <c r="BC15" s="68" t="str">
        <f t="shared" si="7"/>
        <v/>
      </c>
      <c r="BD15" s="68" t="str">
        <f t="shared" si="7"/>
        <v/>
      </c>
      <c r="BE15" s="68" t="str">
        <f t="shared" si="7"/>
        <v/>
      </c>
      <c r="BF15" s="68" t="str">
        <f t="shared" si="7"/>
        <v/>
      </c>
      <c r="BG15" s="68" t="str">
        <f t="shared" si="7"/>
        <v/>
      </c>
      <c r="BH15" s="68" t="str">
        <f t="shared" si="7"/>
        <v/>
      </c>
      <c r="BI15" s="68" t="str">
        <f t="shared" si="7"/>
        <v/>
      </c>
      <c r="BJ15" s="68" t="str">
        <f t="shared" si="7"/>
        <v/>
      </c>
      <c r="BK15" s="68" t="str">
        <f t="shared" si="7"/>
        <v/>
      </c>
      <c r="BL15" s="68" t="str">
        <f t="shared" si="7"/>
        <v/>
      </c>
      <c r="BM15" s="27"/>
      <c r="BN15" s="27"/>
      <c r="BO15" s="27"/>
      <c r="BP15" s="27"/>
    </row>
    <row r="16" ht="39.75" customHeight="1">
      <c r="A16" s="15"/>
      <c r="B16" s="70" t="s">
        <v>30</v>
      </c>
      <c r="C16" s="64" t="s">
        <v>31</v>
      </c>
      <c r="D16" s="64"/>
      <c r="E16" s="65">
        <v>0.1</v>
      </c>
      <c r="F16" s="66">
        <f>F12+6</f>
        <v>46107</v>
      </c>
      <c r="G16" s="67">
        <v>6.0</v>
      </c>
      <c r="H16" s="64"/>
      <c r="I16" s="68" t="str">
        <f t="shared" ref="I16:BL16" si="8">IF(AND($C16="Objetivo",I$7&gt;=$F16,I$7&lt;=$F16+$G16-1),2,IF(AND($C16="Marco",I$7&gt;=$F16,I$7&lt;=$F16+$G16-1),1,""))</f>
        <v/>
      </c>
      <c r="J16" s="68" t="str">
        <f t="shared" si="8"/>
        <v/>
      </c>
      <c r="K16" s="68" t="str">
        <f t="shared" si="8"/>
        <v/>
      </c>
      <c r="L16" s="68" t="str">
        <f t="shared" si="8"/>
        <v/>
      </c>
      <c r="M16" s="68" t="str">
        <f t="shared" si="8"/>
        <v/>
      </c>
      <c r="N16" s="68" t="str">
        <f t="shared" si="8"/>
        <v/>
      </c>
      <c r="O16" s="68" t="str">
        <f t="shared" si="8"/>
        <v/>
      </c>
      <c r="P16" s="68" t="str">
        <f t="shared" si="8"/>
        <v/>
      </c>
      <c r="Q16" s="68" t="str">
        <f t="shared" si="8"/>
        <v/>
      </c>
      <c r="R16" s="68" t="str">
        <f t="shared" si="8"/>
        <v/>
      </c>
      <c r="S16" s="68" t="str">
        <f t="shared" si="8"/>
        <v/>
      </c>
      <c r="T16" s="68" t="str">
        <f t="shared" si="8"/>
        <v/>
      </c>
      <c r="U16" s="68" t="str">
        <f t="shared" si="8"/>
        <v/>
      </c>
      <c r="V16" s="68" t="str">
        <f t="shared" si="8"/>
        <v/>
      </c>
      <c r="W16" s="68" t="str">
        <f t="shared" si="8"/>
        <v/>
      </c>
      <c r="X16" s="68" t="str">
        <f t="shared" si="8"/>
        <v/>
      </c>
      <c r="Y16" s="68" t="str">
        <f t="shared" si="8"/>
        <v/>
      </c>
      <c r="Z16" s="68" t="str">
        <f t="shared" si="8"/>
        <v/>
      </c>
      <c r="AA16" s="68" t="str">
        <f t="shared" si="8"/>
        <v/>
      </c>
      <c r="AB16" s="68" t="str">
        <f t="shared" si="8"/>
        <v/>
      </c>
      <c r="AC16" s="68" t="str">
        <f t="shared" si="8"/>
        <v/>
      </c>
      <c r="AD16" s="68" t="str">
        <f t="shared" si="8"/>
        <v/>
      </c>
      <c r="AE16" s="68" t="str">
        <f t="shared" si="8"/>
        <v/>
      </c>
      <c r="AF16" s="68" t="str">
        <f t="shared" si="8"/>
        <v/>
      </c>
      <c r="AG16" s="68" t="str">
        <f t="shared" si="8"/>
        <v/>
      </c>
      <c r="AH16" s="68" t="str">
        <f t="shared" si="8"/>
        <v/>
      </c>
      <c r="AI16" s="68" t="str">
        <f t="shared" si="8"/>
        <v/>
      </c>
      <c r="AJ16" s="68" t="str">
        <f t="shared" si="8"/>
        <v/>
      </c>
      <c r="AK16" s="68" t="str">
        <f t="shared" si="8"/>
        <v/>
      </c>
      <c r="AL16" s="68" t="str">
        <f t="shared" si="8"/>
        <v/>
      </c>
      <c r="AM16" s="68" t="str">
        <f t="shared" si="8"/>
        <v/>
      </c>
      <c r="AN16" s="68" t="str">
        <f t="shared" si="8"/>
        <v/>
      </c>
      <c r="AO16" s="68" t="str">
        <f t="shared" si="8"/>
        <v/>
      </c>
      <c r="AP16" s="68" t="str">
        <f t="shared" si="8"/>
        <v/>
      </c>
      <c r="AQ16" s="68" t="str">
        <f t="shared" si="8"/>
        <v/>
      </c>
      <c r="AR16" s="68" t="str">
        <f t="shared" si="8"/>
        <v/>
      </c>
      <c r="AS16" s="68" t="str">
        <f t="shared" si="8"/>
        <v/>
      </c>
      <c r="AT16" s="68" t="str">
        <f t="shared" si="8"/>
        <v/>
      </c>
      <c r="AU16" s="68" t="str">
        <f t="shared" si="8"/>
        <v/>
      </c>
      <c r="AV16" s="68" t="str">
        <f t="shared" si="8"/>
        <v/>
      </c>
      <c r="AW16" s="68" t="str">
        <f t="shared" si="8"/>
        <v/>
      </c>
      <c r="AX16" s="68" t="str">
        <f t="shared" si="8"/>
        <v/>
      </c>
      <c r="AY16" s="68" t="str">
        <f t="shared" si="8"/>
        <v/>
      </c>
      <c r="AZ16" s="68" t="str">
        <f t="shared" si="8"/>
        <v/>
      </c>
      <c r="BA16" s="68" t="str">
        <f t="shared" si="8"/>
        <v/>
      </c>
      <c r="BB16" s="68" t="str">
        <f t="shared" si="8"/>
        <v/>
      </c>
      <c r="BC16" s="68" t="str">
        <f t="shared" si="8"/>
        <v/>
      </c>
      <c r="BD16" s="68" t="str">
        <f t="shared" si="8"/>
        <v/>
      </c>
      <c r="BE16" s="68" t="str">
        <f t="shared" si="8"/>
        <v/>
      </c>
      <c r="BF16" s="68" t="str">
        <f t="shared" si="8"/>
        <v/>
      </c>
      <c r="BG16" s="68" t="str">
        <f t="shared" si="8"/>
        <v/>
      </c>
      <c r="BH16" s="68" t="str">
        <f t="shared" si="8"/>
        <v/>
      </c>
      <c r="BI16" s="68" t="str">
        <f t="shared" si="8"/>
        <v/>
      </c>
      <c r="BJ16" s="68" t="str">
        <f t="shared" si="8"/>
        <v/>
      </c>
      <c r="BK16" s="68" t="str">
        <f t="shared" si="8"/>
        <v/>
      </c>
      <c r="BL16" s="68" t="str">
        <f t="shared" si="8"/>
        <v/>
      </c>
      <c r="BM16" s="27"/>
      <c r="BN16" s="27"/>
      <c r="BO16" s="27"/>
      <c r="BP16" s="27"/>
    </row>
    <row r="17" ht="39.75" customHeight="1">
      <c r="A17" s="17"/>
      <c r="B17" s="63" t="s">
        <v>32</v>
      </c>
      <c r="C17" s="64"/>
      <c r="D17" s="64"/>
      <c r="E17" s="65"/>
      <c r="F17" s="66"/>
      <c r="G17" s="67"/>
      <c r="H17" s="64"/>
      <c r="I17" s="68" t="str">
        <f t="shared" ref="I17:BL17" si="9">IF(AND($C17="Objetivo",I$7&gt;=$F17,I$7&lt;=$F17+$G17-1),2,IF(AND($C17="Marco",I$7&gt;=$F17,I$7&lt;=$F17+$G17-1),1,""))</f>
        <v/>
      </c>
      <c r="J17" s="68" t="str">
        <f t="shared" si="9"/>
        <v/>
      </c>
      <c r="K17" s="68" t="str">
        <f t="shared" si="9"/>
        <v/>
      </c>
      <c r="L17" s="68" t="str">
        <f t="shared" si="9"/>
        <v/>
      </c>
      <c r="M17" s="68" t="str">
        <f t="shared" si="9"/>
        <v/>
      </c>
      <c r="N17" s="68" t="str">
        <f t="shared" si="9"/>
        <v/>
      </c>
      <c r="O17" s="68" t="str">
        <f t="shared" si="9"/>
        <v/>
      </c>
      <c r="P17" s="68" t="str">
        <f t="shared" si="9"/>
        <v/>
      </c>
      <c r="Q17" s="68" t="str">
        <f t="shared" si="9"/>
        <v/>
      </c>
      <c r="R17" s="68" t="str">
        <f t="shared" si="9"/>
        <v/>
      </c>
      <c r="S17" s="68" t="str">
        <f t="shared" si="9"/>
        <v/>
      </c>
      <c r="T17" s="68" t="str">
        <f t="shared" si="9"/>
        <v/>
      </c>
      <c r="U17" s="68" t="str">
        <f t="shared" si="9"/>
        <v/>
      </c>
      <c r="V17" s="68" t="str">
        <f t="shared" si="9"/>
        <v/>
      </c>
      <c r="W17" s="68" t="str">
        <f t="shared" si="9"/>
        <v/>
      </c>
      <c r="X17" s="68" t="str">
        <f t="shared" si="9"/>
        <v/>
      </c>
      <c r="Y17" s="68" t="str">
        <f t="shared" si="9"/>
        <v/>
      </c>
      <c r="Z17" s="68" t="str">
        <f t="shared" si="9"/>
        <v/>
      </c>
      <c r="AA17" s="68" t="str">
        <f t="shared" si="9"/>
        <v/>
      </c>
      <c r="AB17" s="68" t="str">
        <f t="shared" si="9"/>
        <v/>
      </c>
      <c r="AC17" s="68" t="str">
        <f t="shared" si="9"/>
        <v/>
      </c>
      <c r="AD17" s="68" t="str">
        <f t="shared" si="9"/>
        <v/>
      </c>
      <c r="AE17" s="68" t="str">
        <f t="shared" si="9"/>
        <v/>
      </c>
      <c r="AF17" s="68" t="str">
        <f t="shared" si="9"/>
        <v/>
      </c>
      <c r="AG17" s="68" t="str">
        <f t="shared" si="9"/>
        <v/>
      </c>
      <c r="AH17" s="68" t="str">
        <f t="shared" si="9"/>
        <v/>
      </c>
      <c r="AI17" s="68" t="str">
        <f t="shared" si="9"/>
        <v/>
      </c>
      <c r="AJ17" s="68" t="str">
        <f t="shared" si="9"/>
        <v/>
      </c>
      <c r="AK17" s="68" t="str">
        <f t="shared" si="9"/>
        <v/>
      </c>
      <c r="AL17" s="68" t="str">
        <f t="shared" si="9"/>
        <v/>
      </c>
      <c r="AM17" s="68" t="str">
        <f t="shared" si="9"/>
        <v/>
      </c>
      <c r="AN17" s="68" t="str">
        <f t="shared" si="9"/>
        <v/>
      </c>
      <c r="AO17" s="68" t="str">
        <f t="shared" si="9"/>
        <v/>
      </c>
      <c r="AP17" s="68" t="str">
        <f t="shared" si="9"/>
        <v/>
      </c>
      <c r="AQ17" s="68" t="str">
        <f t="shared" si="9"/>
        <v/>
      </c>
      <c r="AR17" s="68" t="str">
        <f t="shared" si="9"/>
        <v/>
      </c>
      <c r="AS17" s="68" t="str">
        <f t="shared" si="9"/>
        <v/>
      </c>
      <c r="AT17" s="68" t="str">
        <f t="shared" si="9"/>
        <v/>
      </c>
      <c r="AU17" s="68" t="str">
        <f t="shared" si="9"/>
        <v/>
      </c>
      <c r="AV17" s="68" t="str">
        <f t="shared" si="9"/>
        <v/>
      </c>
      <c r="AW17" s="68" t="str">
        <f t="shared" si="9"/>
        <v/>
      </c>
      <c r="AX17" s="68" t="str">
        <f t="shared" si="9"/>
        <v/>
      </c>
      <c r="AY17" s="68" t="str">
        <f t="shared" si="9"/>
        <v/>
      </c>
      <c r="AZ17" s="68" t="str">
        <f t="shared" si="9"/>
        <v/>
      </c>
      <c r="BA17" s="68" t="str">
        <f t="shared" si="9"/>
        <v/>
      </c>
      <c r="BB17" s="68" t="str">
        <f t="shared" si="9"/>
        <v/>
      </c>
      <c r="BC17" s="68" t="str">
        <f t="shared" si="9"/>
        <v/>
      </c>
      <c r="BD17" s="68" t="str">
        <f t="shared" si="9"/>
        <v/>
      </c>
      <c r="BE17" s="68" t="str">
        <f t="shared" si="9"/>
        <v/>
      </c>
      <c r="BF17" s="68" t="str">
        <f t="shared" si="9"/>
        <v/>
      </c>
      <c r="BG17" s="68" t="str">
        <f t="shared" si="9"/>
        <v/>
      </c>
      <c r="BH17" s="68" t="str">
        <f t="shared" si="9"/>
        <v/>
      </c>
      <c r="BI17" s="68" t="str">
        <f t="shared" si="9"/>
        <v/>
      </c>
      <c r="BJ17" s="68" t="str">
        <f t="shared" si="9"/>
        <v/>
      </c>
      <c r="BK17" s="68" t="str">
        <f t="shared" si="9"/>
        <v/>
      </c>
      <c r="BL17" s="68" t="str">
        <f t="shared" si="9"/>
        <v/>
      </c>
      <c r="BM17" s="27"/>
      <c r="BN17" s="27"/>
      <c r="BO17" s="27"/>
      <c r="BP17" s="27"/>
    </row>
    <row r="18" ht="39.75" customHeight="1">
      <c r="A18" s="17"/>
      <c r="B18" s="70" t="s">
        <v>22</v>
      </c>
      <c r="C18" s="64" t="s">
        <v>33</v>
      </c>
      <c r="D18" s="64"/>
      <c r="E18" s="65">
        <v>0.6</v>
      </c>
      <c r="F18" s="66">
        <f>F12+6</f>
        <v>46107</v>
      </c>
      <c r="G18" s="67">
        <v>13.0</v>
      </c>
      <c r="H18" s="64"/>
      <c r="I18" s="68" t="str">
        <f t="shared" ref="I18:BL18" si="10">IF(AND($C18="Objetivo",I$7&gt;=$F18,I$7&lt;=$F18+$G18-1),2,IF(AND($C18="Marco",I$7&gt;=$F18,I$7&lt;=$F18+$G18-1),1,""))</f>
        <v/>
      </c>
      <c r="J18" s="68" t="str">
        <f t="shared" si="10"/>
        <v/>
      </c>
      <c r="K18" s="68" t="str">
        <f t="shared" si="10"/>
        <v/>
      </c>
      <c r="L18" s="68" t="str">
        <f t="shared" si="10"/>
        <v/>
      </c>
      <c r="M18" s="68" t="str">
        <f t="shared" si="10"/>
        <v/>
      </c>
      <c r="N18" s="68" t="str">
        <f t="shared" si="10"/>
        <v/>
      </c>
      <c r="O18" s="68" t="str">
        <f t="shared" si="10"/>
        <v/>
      </c>
      <c r="P18" s="68" t="str">
        <f t="shared" si="10"/>
        <v/>
      </c>
      <c r="Q18" s="68" t="str">
        <f t="shared" si="10"/>
        <v/>
      </c>
      <c r="R18" s="68" t="str">
        <f t="shared" si="10"/>
        <v/>
      </c>
      <c r="S18" s="68" t="str">
        <f t="shared" si="10"/>
        <v/>
      </c>
      <c r="T18" s="68" t="str">
        <f t="shared" si="10"/>
        <v/>
      </c>
      <c r="U18" s="68" t="str">
        <f t="shared" si="10"/>
        <v/>
      </c>
      <c r="V18" s="68" t="str">
        <f t="shared" si="10"/>
        <v/>
      </c>
      <c r="W18" s="68" t="str">
        <f t="shared" si="10"/>
        <v/>
      </c>
      <c r="X18" s="68" t="str">
        <f t="shared" si="10"/>
        <v/>
      </c>
      <c r="Y18" s="68" t="str">
        <f t="shared" si="10"/>
        <v/>
      </c>
      <c r="Z18" s="68" t="str">
        <f t="shared" si="10"/>
        <v/>
      </c>
      <c r="AA18" s="68" t="str">
        <f t="shared" si="10"/>
        <v/>
      </c>
      <c r="AB18" s="68" t="str">
        <f t="shared" si="10"/>
        <v/>
      </c>
      <c r="AC18" s="68" t="str">
        <f t="shared" si="10"/>
        <v/>
      </c>
      <c r="AD18" s="68" t="str">
        <f t="shared" si="10"/>
        <v/>
      </c>
      <c r="AE18" s="68" t="str">
        <f t="shared" si="10"/>
        <v/>
      </c>
      <c r="AF18" s="68" t="str">
        <f t="shared" si="10"/>
        <v/>
      </c>
      <c r="AG18" s="68" t="str">
        <f t="shared" si="10"/>
        <v/>
      </c>
      <c r="AH18" s="68" t="str">
        <f t="shared" si="10"/>
        <v/>
      </c>
      <c r="AI18" s="68" t="str">
        <f t="shared" si="10"/>
        <v/>
      </c>
      <c r="AJ18" s="68" t="str">
        <f t="shared" si="10"/>
        <v/>
      </c>
      <c r="AK18" s="68" t="str">
        <f t="shared" si="10"/>
        <v/>
      </c>
      <c r="AL18" s="68" t="str">
        <f t="shared" si="10"/>
        <v/>
      </c>
      <c r="AM18" s="68" t="str">
        <f t="shared" si="10"/>
        <v/>
      </c>
      <c r="AN18" s="68" t="str">
        <f t="shared" si="10"/>
        <v/>
      </c>
      <c r="AO18" s="68" t="str">
        <f t="shared" si="10"/>
        <v/>
      </c>
      <c r="AP18" s="68" t="str">
        <f t="shared" si="10"/>
        <v/>
      </c>
      <c r="AQ18" s="68" t="str">
        <f t="shared" si="10"/>
        <v/>
      </c>
      <c r="AR18" s="68" t="str">
        <f t="shared" si="10"/>
        <v/>
      </c>
      <c r="AS18" s="68" t="str">
        <f t="shared" si="10"/>
        <v/>
      </c>
      <c r="AT18" s="68" t="str">
        <f t="shared" si="10"/>
        <v/>
      </c>
      <c r="AU18" s="68" t="str">
        <f t="shared" si="10"/>
        <v/>
      </c>
      <c r="AV18" s="68" t="str">
        <f t="shared" si="10"/>
        <v/>
      </c>
      <c r="AW18" s="68" t="str">
        <f t="shared" si="10"/>
        <v/>
      </c>
      <c r="AX18" s="68" t="str">
        <f t="shared" si="10"/>
        <v/>
      </c>
      <c r="AY18" s="68" t="str">
        <f t="shared" si="10"/>
        <v/>
      </c>
      <c r="AZ18" s="68" t="str">
        <f t="shared" si="10"/>
        <v/>
      </c>
      <c r="BA18" s="68" t="str">
        <f t="shared" si="10"/>
        <v/>
      </c>
      <c r="BB18" s="68" t="str">
        <f t="shared" si="10"/>
        <v/>
      </c>
      <c r="BC18" s="68" t="str">
        <f t="shared" si="10"/>
        <v/>
      </c>
      <c r="BD18" s="68" t="str">
        <f t="shared" si="10"/>
        <v/>
      </c>
      <c r="BE18" s="68" t="str">
        <f t="shared" si="10"/>
        <v/>
      </c>
      <c r="BF18" s="68" t="str">
        <f t="shared" si="10"/>
        <v/>
      </c>
      <c r="BG18" s="68" t="str">
        <f t="shared" si="10"/>
        <v/>
      </c>
      <c r="BH18" s="68" t="str">
        <f t="shared" si="10"/>
        <v/>
      </c>
      <c r="BI18" s="68" t="str">
        <f t="shared" si="10"/>
        <v/>
      </c>
      <c r="BJ18" s="68" t="str">
        <f t="shared" si="10"/>
        <v/>
      </c>
      <c r="BK18" s="68" t="str">
        <f t="shared" si="10"/>
        <v/>
      </c>
      <c r="BL18" s="68" t="str">
        <f t="shared" si="10"/>
        <v/>
      </c>
      <c r="BM18" s="27"/>
      <c r="BN18" s="27"/>
      <c r="BO18" s="27"/>
      <c r="BP18" s="27"/>
    </row>
    <row r="19" ht="39.75" customHeight="1">
      <c r="A19" s="15"/>
      <c r="B19" s="70" t="s">
        <v>25</v>
      </c>
      <c r="C19" s="64" t="s">
        <v>34</v>
      </c>
      <c r="D19" s="64"/>
      <c r="E19" s="65">
        <v>0.5</v>
      </c>
      <c r="F19" s="66">
        <f>F18+2</f>
        <v>46109</v>
      </c>
      <c r="G19" s="67">
        <v>9.0</v>
      </c>
      <c r="H19" s="64"/>
      <c r="I19" s="68" t="str">
        <f t="shared" ref="I19:BL19" si="11">IF(AND($C19="Objetivo",I$7&gt;=$F19,I$7&lt;=$F19+$G19-1),2,IF(AND($C19="Marco",I$7&gt;=$F19,I$7&lt;=$F19+$G19-1),1,""))</f>
        <v/>
      </c>
      <c r="J19" s="68" t="str">
        <f t="shared" si="11"/>
        <v/>
      </c>
      <c r="K19" s="68" t="str">
        <f t="shared" si="11"/>
        <v/>
      </c>
      <c r="L19" s="68" t="str">
        <f t="shared" si="11"/>
        <v/>
      </c>
      <c r="M19" s="68" t="str">
        <f t="shared" si="11"/>
        <v/>
      </c>
      <c r="N19" s="68" t="str">
        <f t="shared" si="11"/>
        <v/>
      </c>
      <c r="O19" s="68" t="str">
        <f t="shared" si="11"/>
        <v/>
      </c>
      <c r="P19" s="68" t="str">
        <f t="shared" si="11"/>
        <v/>
      </c>
      <c r="Q19" s="68" t="str">
        <f t="shared" si="11"/>
        <v/>
      </c>
      <c r="R19" s="68" t="str">
        <f t="shared" si="11"/>
        <v/>
      </c>
      <c r="S19" s="68" t="str">
        <f t="shared" si="11"/>
        <v/>
      </c>
      <c r="T19" s="68" t="str">
        <f t="shared" si="11"/>
        <v/>
      </c>
      <c r="U19" s="68" t="str">
        <f t="shared" si="11"/>
        <v/>
      </c>
      <c r="V19" s="68" t="str">
        <f t="shared" si="11"/>
        <v/>
      </c>
      <c r="W19" s="68" t="str">
        <f t="shared" si="11"/>
        <v/>
      </c>
      <c r="X19" s="68" t="str">
        <f t="shared" si="11"/>
        <v/>
      </c>
      <c r="Y19" s="68" t="str">
        <f t="shared" si="11"/>
        <v/>
      </c>
      <c r="Z19" s="68" t="str">
        <f t="shared" si="11"/>
        <v/>
      </c>
      <c r="AA19" s="68" t="str">
        <f t="shared" si="11"/>
        <v/>
      </c>
      <c r="AB19" s="68" t="str">
        <f t="shared" si="11"/>
        <v/>
      </c>
      <c r="AC19" s="68" t="str">
        <f t="shared" si="11"/>
        <v/>
      </c>
      <c r="AD19" s="68" t="str">
        <f t="shared" si="11"/>
        <v/>
      </c>
      <c r="AE19" s="68" t="str">
        <f t="shared" si="11"/>
        <v/>
      </c>
      <c r="AF19" s="68" t="str">
        <f t="shared" si="11"/>
        <v/>
      </c>
      <c r="AG19" s="68" t="str">
        <f t="shared" si="11"/>
        <v/>
      </c>
      <c r="AH19" s="68" t="str">
        <f t="shared" si="11"/>
        <v/>
      </c>
      <c r="AI19" s="68" t="str">
        <f t="shared" si="11"/>
        <v/>
      </c>
      <c r="AJ19" s="68" t="str">
        <f t="shared" si="11"/>
        <v/>
      </c>
      <c r="AK19" s="68" t="str">
        <f t="shared" si="11"/>
        <v/>
      </c>
      <c r="AL19" s="68" t="str">
        <f t="shared" si="11"/>
        <v/>
      </c>
      <c r="AM19" s="68" t="str">
        <f t="shared" si="11"/>
        <v/>
      </c>
      <c r="AN19" s="68" t="str">
        <f t="shared" si="11"/>
        <v/>
      </c>
      <c r="AO19" s="68" t="str">
        <f t="shared" si="11"/>
        <v/>
      </c>
      <c r="AP19" s="68" t="str">
        <f t="shared" si="11"/>
        <v/>
      </c>
      <c r="AQ19" s="68" t="str">
        <f t="shared" si="11"/>
        <v/>
      </c>
      <c r="AR19" s="68" t="str">
        <f t="shared" si="11"/>
        <v/>
      </c>
      <c r="AS19" s="68" t="str">
        <f t="shared" si="11"/>
        <v/>
      </c>
      <c r="AT19" s="68" t="str">
        <f t="shared" si="11"/>
        <v/>
      </c>
      <c r="AU19" s="68" t="str">
        <f t="shared" si="11"/>
        <v/>
      </c>
      <c r="AV19" s="68" t="str">
        <f t="shared" si="11"/>
        <v/>
      </c>
      <c r="AW19" s="68" t="str">
        <f t="shared" si="11"/>
        <v/>
      </c>
      <c r="AX19" s="68" t="str">
        <f t="shared" si="11"/>
        <v/>
      </c>
      <c r="AY19" s="68" t="str">
        <f t="shared" si="11"/>
        <v/>
      </c>
      <c r="AZ19" s="68" t="str">
        <f t="shared" si="11"/>
        <v/>
      </c>
      <c r="BA19" s="68" t="str">
        <f t="shared" si="11"/>
        <v/>
      </c>
      <c r="BB19" s="68" t="str">
        <f t="shared" si="11"/>
        <v/>
      </c>
      <c r="BC19" s="68" t="str">
        <f t="shared" si="11"/>
        <v/>
      </c>
      <c r="BD19" s="68" t="str">
        <f t="shared" si="11"/>
        <v/>
      </c>
      <c r="BE19" s="68" t="str">
        <f t="shared" si="11"/>
        <v/>
      </c>
      <c r="BF19" s="68" t="str">
        <f t="shared" si="11"/>
        <v/>
      </c>
      <c r="BG19" s="68" t="str">
        <f t="shared" si="11"/>
        <v/>
      </c>
      <c r="BH19" s="68" t="str">
        <f t="shared" si="11"/>
        <v/>
      </c>
      <c r="BI19" s="68" t="str">
        <f t="shared" si="11"/>
        <v/>
      </c>
      <c r="BJ19" s="68" t="str">
        <f t="shared" si="11"/>
        <v/>
      </c>
      <c r="BK19" s="68" t="str">
        <f t="shared" si="11"/>
        <v/>
      </c>
      <c r="BL19" s="68" t="str">
        <f t="shared" si="11"/>
        <v/>
      </c>
      <c r="BM19" s="27"/>
      <c r="BN19" s="27"/>
      <c r="BO19" s="27"/>
      <c r="BP19" s="27"/>
    </row>
    <row r="20" ht="39.75" customHeight="1">
      <c r="A20" s="15"/>
      <c r="B20" s="70" t="s">
        <v>27</v>
      </c>
      <c r="C20" s="64" t="s">
        <v>28</v>
      </c>
      <c r="D20" s="64"/>
      <c r="E20" s="65">
        <v>0.33</v>
      </c>
      <c r="F20" s="66">
        <f>F19+5</f>
        <v>46114</v>
      </c>
      <c r="G20" s="67">
        <v>11.0</v>
      </c>
      <c r="H20" s="64"/>
      <c r="I20" s="68" t="str">
        <f t="shared" ref="I20:BL20" si="12">IF(AND($C20="Objetivo",I$7&gt;=$F20,I$7&lt;=$F20+$G20-1),2,IF(AND($C20="Marco",I$7&gt;=$F20,I$7&lt;=$F20+$G20-1),1,""))</f>
        <v/>
      </c>
      <c r="J20" s="68" t="str">
        <f t="shared" si="12"/>
        <v/>
      </c>
      <c r="K20" s="68" t="str">
        <f t="shared" si="12"/>
        <v/>
      </c>
      <c r="L20" s="68" t="str">
        <f t="shared" si="12"/>
        <v/>
      </c>
      <c r="M20" s="68" t="str">
        <f t="shared" si="12"/>
        <v/>
      </c>
      <c r="N20" s="68" t="str">
        <f t="shared" si="12"/>
        <v/>
      </c>
      <c r="O20" s="68" t="str">
        <f t="shared" si="12"/>
        <v/>
      </c>
      <c r="P20" s="68" t="str">
        <f t="shared" si="12"/>
        <v/>
      </c>
      <c r="Q20" s="68" t="str">
        <f t="shared" si="12"/>
        <v/>
      </c>
      <c r="R20" s="68" t="str">
        <f t="shared" si="12"/>
        <v/>
      </c>
      <c r="S20" s="68" t="str">
        <f t="shared" si="12"/>
        <v/>
      </c>
      <c r="T20" s="68" t="str">
        <f t="shared" si="12"/>
        <v/>
      </c>
      <c r="U20" s="68" t="str">
        <f t="shared" si="12"/>
        <v/>
      </c>
      <c r="V20" s="68" t="str">
        <f t="shared" si="12"/>
        <v/>
      </c>
      <c r="W20" s="68" t="str">
        <f t="shared" si="12"/>
        <v/>
      </c>
      <c r="X20" s="68" t="str">
        <f t="shared" si="12"/>
        <v/>
      </c>
      <c r="Y20" s="68" t="str">
        <f t="shared" si="12"/>
        <v/>
      </c>
      <c r="Z20" s="68" t="str">
        <f t="shared" si="12"/>
        <v/>
      </c>
      <c r="AA20" s="68" t="str">
        <f t="shared" si="12"/>
        <v/>
      </c>
      <c r="AB20" s="68" t="str">
        <f t="shared" si="12"/>
        <v/>
      </c>
      <c r="AC20" s="68" t="str">
        <f t="shared" si="12"/>
        <v/>
      </c>
      <c r="AD20" s="68" t="str">
        <f t="shared" si="12"/>
        <v/>
      </c>
      <c r="AE20" s="68" t="str">
        <f t="shared" si="12"/>
        <v/>
      </c>
      <c r="AF20" s="68" t="str">
        <f t="shared" si="12"/>
        <v/>
      </c>
      <c r="AG20" s="68" t="str">
        <f t="shared" si="12"/>
        <v/>
      </c>
      <c r="AH20" s="68" t="str">
        <f t="shared" si="12"/>
        <v/>
      </c>
      <c r="AI20" s="68" t="str">
        <f t="shared" si="12"/>
        <v/>
      </c>
      <c r="AJ20" s="68" t="str">
        <f t="shared" si="12"/>
        <v/>
      </c>
      <c r="AK20" s="68" t="str">
        <f t="shared" si="12"/>
        <v/>
      </c>
      <c r="AL20" s="68" t="str">
        <f t="shared" si="12"/>
        <v/>
      </c>
      <c r="AM20" s="68" t="str">
        <f t="shared" si="12"/>
        <v/>
      </c>
      <c r="AN20" s="68" t="str">
        <f t="shared" si="12"/>
        <v/>
      </c>
      <c r="AO20" s="68" t="str">
        <f t="shared" si="12"/>
        <v/>
      </c>
      <c r="AP20" s="68" t="str">
        <f t="shared" si="12"/>
        <v/>
      </c>
      <c r="AQ20" s="68" t="str">
        <f t="shared" si="12"/>
        <v/>
      </c>
      <c r="AR20" s="68" t="str">
        <f t="shared" si="12"/>
        <v/>
      </c>
      <c r="AS20" s="68" t="str">
        <f t="shared" si="12"/>
        <v/>
      </c>
      <c r="AT20" s="68" t="str">
        <f t="shared" si="12"/>
        <v/>
      </c>
      <c r="AU20" s="68" t="str">
        <f t="shared" si="12"/>
        <v/>
      </c>
      <c r="AV20" s="68" t="str">
        <f t="shared" si="12"/>
        <v/>
      </c>
      <c r="AW20" s="68" t="str">
        <f t="shared" si="12"/>
        <v/>
      </c>
      <c r="AX20" s="68" t="str">
        <f t="shared" si="12"/>
        <v/>
      </c>
      <c r="AY20" s="68" t="str">
        <f t="shared" si="12"/>
        <v/>
      </c>
      <c r="AZ20" s="68" t="str">
        <f t="shared" si="12"/>
        <v/>
      </c>
      <c r="BA20" s="68" t="str">
        <f t="shared" si="12"/>
        <v/>
      </c>
      <c r="BB20" s="68" t="str">
        <f t="shared" si="12"/>
        <v/>
      </c>
      <c r="BC20" s="68" t="str">
        <f t="shared" si="12"/>
        <v/>
      </c>
      <c r="BD20" s="68" t="str">
        <f t="shared" si="12"/>
        <v/>
      </c>
      <c r="BE20" s="68" t="str">
        <f t="shared" si="12"/>
        <v/>
      </c>
      <c r="BF20" s="68" t="str">
        <f t="shared" si="12"/>
        <v/>
      </c>
      <c r="BG20" s="68" t="str">
        <f t="shared" si="12"/>
        <v/>
      </c>
      <c r="BH20" s="68" t="str">
        <f t="shared" si="12"/>
        <v/>
      </c>
      <c r="BI20" s="68" t="str">
        <f t="shared" si="12"/>
        <v/>
      </c>
      <c r="BJ20" s="68" t="str">
        <f t="shared" si="12"/>
        <v/>
      </c>
      <c r="BK20" s="68" t="str">
        <f t="shared" si="12"/>
        <v/>
      </c>
      <c r="BL20" s="68" t="str">
        <f t="shared" si="12"/>
        <v/>
      </c>
      <c r="BM20" s="27"/>
      <c r="BN20" s="27"/>
      <c r="BO20" s="27"/>
      <c r="BP20" s="27"/>
    </row>
    <row r="21" ht="39.75" customHeight="1">
      <c r="A21" s="15"/>
      <c r="B21" s="70" t="s">
        <v>29</v>
      </c>
      <c r="C21" s="64" t="s">
        <v>26</v>
      </c>
      <c r="D21" s="64"/>
      <c r="E21" s="65"/>
      <c r="F21" s="66">
        <f>F20+2</f>
        <v>46116</v>
      </c>
      <c r="G21" s="67">
        <v>1.0</v>
      </c>
      <c r="H21" s="64"/>
      <c r="I21" s="68" t="str">
        <f t="shared" ref="I21:BL21" si="13">IF(AND($C21="Objetivo",I$7&gt;=$F21,I$7&lt;=$F21+$G21-1),2,IF(AND($C21="Marco",I$7&gt;=$F21,I$7&lt;=$F21+$G21-1),1,""))</f>
        <v/>
      </c>
      <c r="J21" s="68" t="str">
        <f t="shared" si="13"/>
        <v/>
      </c>
      <c r="K21" s="68" t="str">
        <f t="shared" si="13"/>
        <v/>
      </c>
      <c r="L21" s="68" t="str">
        <f t="shared" si="13"/>
        <v/>
      </c>
      <c r="M21" s="68" t="str">
        <f t="shared" si="13"/>
        <v/>
      </c>
      <c r="N21" s="68" t="str">
        <f t="shared" si="13"/>
        <v/>
      </c>
      <c r="O21" s="68" t="str">
        <f t="shared" si="13"/>
        <v/>
      </c>
      <c r="P21" s="68" t="str">
        <f t="shared" si="13"/>
        <v/>
      </c>
      <c r="Q21" s="68" t="str">
        <f t="shared" si="13"/>
        <v/>
      </c>
      <c r="R21" s="68" t="str">
        <f t="shared" si="13"/>
        <v/>
      </c>
      <c r="S21" s="68" t="str">
        <f t="shared" si="13"/>
        <v/>
      </c>
      <c r="T21" s="68" t="str">
        <f t="shared" si="13"/>
        <v/>
      </c>
      <c r="U21" s="68" t="str">
        <f t="shared" si="13"/>
        <v/>
      </c>
      <c r="V21" s="68" t="str">
        <f t="shared" si="13"/>
        <v/>
      </c>
      <c r="W21" s="68">
        <f t="shared" si="13"/>
        <v>1</v>
      </c>
      <c r="X21" s="68" t="str">
        <f t="shared" si="13"/>
        <v/>
      </c>
      <c r="Y21" s="68" t="str">
        <f t="shared" si="13"/>
        <v/>
      </c>
      <c r="Z21" s="68" t="str">
        <f t="shared" si="13"/>
        <v/>
      </c>
      <c r="AA21" s="68" t="str">
        <f t="shared" si="13"/>
        <v/>
      </c>
      <c r="AB21" s="68" t="str">
        <f t="shared" si="13"/>
        <v/>
      </c>
      <c r="AC21" s="68" t="str">
        <f t="shared" si="13"/>
        <v/>
      </c>
      <c r="AD21" s="68" t="str">
        <f t="shared" si="13"/>
        <v/>
      </c>
      <c r="AE21" s="68" t="str">
        <f t="shared" si="13"/>
        <v/>
      </c>
      <c r="AF21" s="68" t="str">
        <f t="shared" si="13"/>
        <v/>
      </c>
      <c r="AG21" s="68" t="str">
        <f t="shared" si="13"/>
        <v/>
      </c>
      <c r="AH21" s="68" t="str">
        <f t="shared" si="13"/>
        <v/>
      </c>
      <c r="AI21" s="68" t="str">
        <f t="shared" si="13"/>
        <v/>
      </c>
      <c r="AJ21" s="68" t="str">
        <f t="shared" si="13"/>
        <v/>
      </c>
      <c r="AK21" s="68" t="str">
        <f t="shared" si="13"/>
        <v/>
      </c>
      <c r="AL21" s="68" t="str">
        <f t="shared" si="13"/>
        <v/>
      </c>
      <c r="AM21" s="68" t="str">
        <f t="shared" si="13"/>
        <v/>
      </c>
      <c r="AN21" s="68" t="str">
        <f t="shared" si="13"/>
        <v/>
      </c>
      <c r="AO21" s="68" t="str">
        <f t="shared" si="13"/>
        <v/>
      </c>
      <c r="AP21" s="68" t="str">
        <f t="shared" si="13"/>
        <v/>
      </c>
      <c r="AQ21" s="68" t="str">
        <f t="shared" si="13"/>
        <v/>
      </c>
      <c r="AR21" s="68" t="str">
        <f t="shared" si="13"/>
        <v/>
      </c>
      <c r="AS21" s="68" t="str">
        <f t="shared" si="13"/>
        <v/>
      </c>
      <c r="AT21" s="68" t="str">
        <f t="shared" si="13"/>
        <v/>
      </c>
      <c r="AU21" s="68" t="str">
        <f t="shared" si="13"/>
        <v/>
      </c>
      <c r="AV21" s="68" t="str">
        <f t="shared" si="13"/>
        <v/>
      </c>
      <c r="AW21" s="68" t="str">
        <f t="shared" si="13"/>
        <v/>
      </c>
      <c r="AX21" s="68" t="str">
        <f t="shared" si="13"/>
        <v/>
      </c>
      <c r="AY21" s="68" t="str">
        <f t="shared" si="13"/>
        <v/>
      </c>
      <c r="AZ21" s="68" t="str">
        <f t="shared" si="13"/>
        <v/>
      </c>
      <c r="BA21" s="68" t="str">
        <f t="shared" si="13"/>
        <v/>
      </c>
      <c r="BB21" s="68" t="str">
        <f t="shared" si="13"/>
        <v/>
      </c>
      <c r="BC21" s="68" t="str">
        <f t="shared" si="13"/>
        <v/>
      </c>
      <c r="BD21" s="68" t="str">
        <f t="shared" si="13"/>
        <v/>
      </c>
      <c r="BE21" s="68" t="str">
        <f t="shared" si="13"/>
        <v/>
      </c>
      <c r="BF21" s="68" t="str">
        <f t="shared" si="13"/>
        <v/>
      </c>
      <c r="BG21" s="68" t="str">
        <f t="shared" si="13"/>
        <v/>
      </c>
      <c r="BH21" s="68" t="str">
        <f t="shared" si="13"/>
        <v/>
      </c>
      <c r="BI21" s="68" t="str">
        <f t="shared" si="13"/>
        <v/>
      </c>
      <c r="BJ21" s="68" t="str">
        <f t="shared" si="13"/>
        <v/>
      </c>
      <c r="BK21" s="68" t="str">
        <f t="shared" si="13"/>
        <v/>
      </c>
      <c r="BL21" s="68" t="str">
        <f t="shared" si="13"/>
        <v/>
      </c>
      <c r="BM21" s="27"/>
      <c r="BN21" s="27"/>
      <c r="BO21" s="27"/>
      <c r="BP21" s="27"/>
    </row>
    <row r="22" ht="39.75" customHeight="1">
      <c r="A22" s="15"/>
      <c r="B22" s="70" t="s">
        <v>30</v>
      </c>
      <c r="C22" s="64"/>
      <c r="D22" s="64"/>
      <c r="E22" s="65"/>
      <c r="F22" s="66">
        <f>F21+1</f>
        <v>46117</v>
      </c>
      <c r="G22" s="67">
        <v>24.0</v>
      </c>
      <c r="H22" s="64"/>
      <c r="I22" s="68" t="str">
        <f t="shared" ref="I22:BL22" si="14">IF(AND($C22="Objetivo",I$7&gt;=$F22,I$7&lt;=$F22+$G22-1),2,IF(AND($C22="Marco",I$7&gt;=$F22,I$7&lt;=$F22+$G22-1),1,""))</f>
        <v/>
      </c>
      <c r="J22" s="68" t="str">
        <f t="shared" si="14"/>
        <v/>
      </c>
      <c r="K22" s="68" t="str">
        <f t="shared" si="14"/>
        <v/>
      </c>
      <c r="L22" s="68" t="str">
        <f t="shared" si="14"/>
        <v/>
      </c>
      <c r="M22" s="68" t="str">
        <f t="shared" si="14"/>
        <v/>
      </c>
      <c r="N22" s="68" t="str">
        <f t="shared" si="14"/>
        <v/>
      </c>
      <c r="O22" s="68" t="str">
        <f t="shared" si="14"/>
        <v/>
      </c>
      <c r="P22" s="68" t="str">
        <f t="shared" si="14"/>
        <v/>
      </c>
      <c r="Q22" s="68" t="str">
        <f t="shared" si="14"/>
        <v/>
      </c>
      <c r="R22" s="68" t="str">
        <f t="shared" si="14"/>
        <v/>
      </c>
      <c r="S22" s="68" t="str">
        <f t="shared" si="14"/>
        <v/>
      </c>
      <c r="T22" s="68" t="str">
        <f t="shared" si="14"/>
        <v/>
      </c>
      <c r="U22" s="68" t="str">
        <f t="shared" si="14"/>
        <v/>
      </c>
      <c r="V22" s="68" t="str">
        <f t="shared" si="14"/>
        <v/>
      </c>
      <c r="W22" s="68" t="str">
        <f t="shared" si="14"/>
        <v/>
      </c>
      <c r="X22" s="68" t="str">
        <f t="shared" si="14"/>
        <v/>
      </c>
      <c r="Y22" s="68" t="str">
        <f t="shared" si="14"/>
        <v/>
      </c>
      <c r="Z22" s="68" t="str">
        <f t="shared" si="14"/>
        <v/>
      </c>
      <c r="AA22" s="68" t="str">
        <f t="shared" si="14"/>
        <v/>
      </c>
      <c r="AB22" s="68" t="str">
        <f t="shared" si="14"/>
        <v/>
      </c>
      <c r="AC22" s="68" t="str">
        <f t="shared" si="14"/>
        <v/>
      </c>
      <c r="AD22" s="68" t="str">
        <f t="shared" si="14"/>
        <v/>
      </c>
      <c r="AE22" s="68" t="str">
        <f t="shared" si="14"/>
        <v/>
      </c>
      <c r="AF22" s="68" t="str">
        <f t="shared" si="14"/>
        <v/>
      </c>
      <c r="AG22" s="68" t="str">
        <f t="shared" si="14"/>
        <v/>
      </c>
      <c r="AH22" s="68" t="str">
        <f t="shared" si="14"/>
        <v/>
      </c>
      <c r="AI22" s="68" t="str">
        <f t="shared" si="14"/>
        <v/>
      </c>
      <c r="AJ22" s="68" t="str">
        <f t="shared" si="14"/>
        <v/>
      </c>
      <c r="AK22" s="68" t="str">
        <f t="shared" si="14"/>
        <v/>
      </c>
      <c r="AL22" s="68" t="str">
        <f t="shared" si="14"/>
        <v/>
      </c>
      <c r="AM22" s="68" t="str">
        <f t="shared" si="14"/>
        <v/>
      </c>
      <c r="AN22" s="68" t="str">
        <f t="shared" si="14"/>
        <v/>
      </c>
      <c r="AO22" s="68" t="str">
        <f t="shared" si="14"/>
        <v/>
      </c>
      <c r="AP22" s="68" t="str">
        <f t="shared" si="14"/>
        <v/>
      </c>
      <c r="AQ22" s="68" t="str">
        <f t="shared" si="14"/>
        <v/>
      </c>
      <c r="AR22" s="68" t="str">
        <f t="shared" si="14"/>
        <v/>
      </c>
      <c r="AS22" s="68" t="str">
        <f t="shared" si="14"/>
        <v/>
      </c>
      <c r="AT22" s="68" t="str">
        <f t="shared" si="14"/>
        <v/>
      </c>
      <c r="AU22" s="68" t="str">
        <f t="shared" si="14"/>
        <v/>
      </c>
      <c r="AV22" s="68" t="str">
        <f t="shared" si="14"/>
        <v/>
      </c>
      <c r="AW22" s="68" t="str">
        <f t="shared" si="14"/>
        <v/>
      </c>
      <c r="AX22" s="68" t="str">
        <f t="shared" si="14"/>
        <v/>
      </c>
      <c r="AY22" s="68" t="str">
        <f t="shared" si="14"/>
        <v/>
      </c>
      <c r="AZ22" s="68" t="str">
        <f t="shared" si="14"/>
        <v/>
      </c>
      <c r="BA22" s="68" t="str">
        <f t="shared" si="14"/>
        <v/>
      </c>
      <c r="BB22" s="68" t="str">
        <f t="shared" si="14"/>
        <v/>
      </c>
      <c r="BC22" s="68" t="str">
        <f t="shared" si="14"/>
        <v/>
      </c>
      <c r="BD22" s="68" t="str">
        <f t="shared" si="14"/>
        <v/>
      </c>
      <c r="BE22" s="68" t="str">
        <f t="shared" si="14"/>
        <v/>
      </c>
      <c r="BF22" s="68" t="str">
        <f t="shared" si="14"/>
        <v/>
      </c>
      <c r="BG22" s="68" t="str">
        <f t="shared" si="14"/>
        <v/>
      </c>
      <c r="BH22" s="68" t="str">
        <f t="shared" si="14"/>
        <v/>
      </c>
      <c r="BI22" s="68" t="str">
        <f t="shared" si="14"/>
        <v/>
      </c>
      <c r="BJ22" s="68" t="str">
        <f t="shared" si="14"/>
        <v/>
      </c>
      <c r="BK22" s="68" t="str">
        <f t="shared" si="14"/>
        <v/>
      </c>
      <c r="BL22" s="68" t="str">
        <f t="shared" si="14"/>
        <v/>
      </c>
      <c r="BM22" s="27"/>
      <c r="BN22" s="27"/>
      <c r="BO22" s="27"/>
      <c r="BP22" s="27"/>
    </row>
    <row r="23" ht="39.75" customHeight="1">
      <c r="A23" s="15"/>
      <c r="B23" s="63" t="s">
        <v>35</v>
      </c>
      <c r="C23" s="64"/>
      <c r="D23" s="64"/>
      <c r="E23" s="65"/>
      <c r="F23" s="66"/>
      <c r="G23" s="67"/>
      <c r="H23" s="64"/>
      <c r="I23" s="68" t="str">
        <f t="shared" ref="I23:BL23" si="15">IF(AND($C23="Objetivo",I$7&gt;=$F23,I$7&lt;=$F23+$G23-1),2,IF(AND($C23="Marco",I$7&gt;=$F23,I$7&lt;=$F23+$G23-1),1,""))</f>
        <v/>
      </c>
      <c r="J23" s="68" t="str">
        <f t="shared" si="15"/>
        <v/>
      </c>
      <c r="K23" s="68" t="str">
        <f t="shared" si="15"/>
        <v/>
      </c>
      <c r="L23" s="68" t="str">
        <f t="shared" si="15"/>
        <v/>
      </c>
      <c r="M23" s="68" t="str">
        <f t="shared" si="15"/>
        <v/>
      </c>
      <c r="N23" s="68" t="str">
        <f t="shared" si="15"/>
        <v/>
      </c>
      <c r="O23" s="68" t="str">
        <f t="shared" si="15"/>
        <v/>
      </c>
      <c r="P23" s="68" t="str">
        <f t="shared" si="15"/>
        <v/>
      </c>
      <c r="Q23" s="68" t="str">
        <f t="shared" si="15"/>
        <v/>
      </c>
      <c r="R23" s="68" t="str">
        <f t="shared" si="15"/>
        <v/>
      </c>
      <c r="S23" s="68" t="str">
        <f t="shared" si="15"/>
        <v/>
      </c>
      <c r="T23" s="68" t="str">
        <f t="shared" si="15"/>
        <v/>
      </c>
      <c r="U23" s="68" t="str">
        <f t="shared" si="15"/>
        <v/>
      </c>
      <c r="V23" s="68" t="str">
        <f t="shared" si="15"/>
        <v/>
      </c>
      <c r="W23" s="68" t="str">
        <f t="shared" si="15"/>
        <v/>
      </c>
      <c r="X23" s="68" t="str">
        <f t="shared" si="15"/>
        <v/>
      </c>
      <c r="Y23" s="68" t="str">
        <f t="shared" si="15"/>
        <v/>
      </c>
      <c r="Z23" s="68" t="str">
        <f t="shared" si="15"/>
        <v/>
      </c>
      <c r="AA23" s="68" t="str">
        <f t="shared" si="15"/>
        <v/>
      </c>
      <c r="AB23" s="68" t="str">
        <f t="shared" si="15"/>
        <v/>
      </c>
      <c r="AC23" s="68" t="str">
        <f t="shared" si="15"/>
        <v/>
      </c>
      <c r="AD23" s="68" t="str">
        <f t="shared" si="15"/>
        <v/>
      </c>
      <c r="AE23" s="68" t="str">
        <f t="shared" si="15"/>
        <v/>
      </c>
      <c r="AF23" s="68" t="str">
        <f t="shared" si="15"/>
        <v/>
      </c>
      <c r="AG23" s="68" t="str">
        <f t="shared" si="15"/>
        <v/>
      </c>
      <c r="AH23" s="68" t="str">
        <f t="shared" si="15"/>
        <v/>
      </c>
      <c r="AI23" s="68" t="str">
        <f t="shared" si="15"/>
        <v/>
      </c>
      <c r="AJ23" s="68" t="str">
        <f t="shared" si="15"/>
        <v/>
      </c>
      <c r="AK23" s="68" t="str">
        <f t="shared" si="15"/>
        <v/>
      </c>
      <c r="AL23" s="68" t="str">
        <f t="shared" si="15"/>
        <v/>
      </c>
      <c r="AM23" s="68" t="str">
        <f t="shared" si="15"/>
        <v/>
      </c>
      <c r="AN23" s="68" t="str">
        <f t="shared" si="15"/>
        <v/>
      </c>
      <c r="AO23" s="68" t="str">
        <f t="shared" si="15"/>
        <v/>
      </c>
      <c r="AP23" s="68" t="str">
        <f t="shared" si="15"/>
        <v/>
      </c>
      <c r="AQ23" s="68" t="str">
        <f t="shared" si="15"/>
        <v/>
      </c>
      <c r="AR23" s="68" t="str">
        <f t="shared" si="15"/>
        <v/>
      </c>
      <c r="AS23" s="68" t="str">
        <f t="shared" si="15"/>
        <v/>
      </c>
      <c r="AT23" s="68" t="str">
        <f t="shared" si="15"/>
        <v/>
      </c>
      <c r="AU23" s="68" t="str">
        <f t="shared" si="15"/>
        <v/>
      </c>
      <c r="AV23" s="68" t="str">
        <f t="shared" si="15"/>
        <v/>
      </c>
      <c r="AW23" s="68" t="str">
        <f t="shared" si="15"/>
        <v/>
      </c>
      <c r="AX23" s="68" t="str">
        <f t="shared" si="15"/>
        <v/>
      </c>
      <c r="AY23" s="68" t="str">
        <f t="shared" si="15"/>
        <v/>
      </c>
      <c r="AZ23" s="68" t="str">
        <f t="shared" si="15"/>
        <v/>
      </c>
      <c r="BA23" s="68" t="str">
        <f t="shared" si="15"/>
        <v/>
      </c>
      <c r="BB23" s="68" t="str">
        <f t="shared" si="15"/>
        <v/>
      </c>
      <c r="BC23" s="68" t="str">
        <f t="shared" si="15"/>
        <v/>
      </c>
      <c r="BD23" s="68" t="str">
        <f t="shared" si="15"/>
        <v/>
      </c>
      <c r="BE23" s="68" t="str">
        <f t="shared" si="15"/>
        <v/>
      </c>
      <c r="BF23" s="68" t="str">
        <f t="shared" si="15"/>
        <v/>
      </c>
      <c r="BG23" s="68" t="str">
        <f t="shared" si="15"/>
        <v/>
      </c>
      <c r="BH23" s="68" t="str">
        <f t="shared" si="15"/>
        <v/>
      </c>
      <c r="BI23" s="68" t="str">
        <f t="shared" si="15"/>
        <v/>
      </c>
      <c r="BJ23" s="68" t="str">
        <f t="shared" si="15"/>
        <v/>
      </c>
      <c r="BK23" s="68" t="str">
        <f t="shared" si="15"/>
        <v/>
      </c>
      <c r="BL23" s="68" t="str">
        <f t="shared" si="15"/>
        <v/>
      </c>
      <c r="BM23" s="27"/>
      <c r="BN23" s="27"/>
      <c r="BO23" s="27"/>
      <c r="BP23" s="27"/>
    </row>
    <row r="24" ht="39.75" customHeight="1">
      <c r="A24" s="15"/>
      <c r="B24" s="70" t="s">
        <v>22</v>
      </c>
      <c r="C24" s="64" t="s">
        <v>34</v>
      </c>
      <c r="D24" s="64"/>
      <c r="E24" s="65"/>
      <c r="F24" s="66">
        <f>F12+15</f>
        <v>46116</v>
      </c>
      <c r="G24" s="67">
        <v>4.0</v>
      </c>
      <c r="H24" s="64"/>
      <c r="I24" s="68" t="str">
        <f t="shared" ref="I24:BL24" si="16">IF(AND($C24="Objetivo",I$7&gt;=$F24,I$7&lt;=$F24+$G24-1),2,IF(AND($C24="Marco",I$7&gt;=$F24,I$7&lt;=$F24+$G24-1),1,""))</f>
        <v/>
      </c>
      <c r="J24" s="68" t="str">
        <f t="shared" si="16"/>
        <v/>
      </c>
      <c r="K24" s="68" t="str">
        <f t="shared" si="16"/>
        <v/>
      </c>
      <c r="L24" s="68" t="str">
        <f t="shared" si="16"/>
        <v/>
      </c>
      <c r="M24" s="68" t="str">
        <f t="shared" si="16"/>
        <v/>
      </c>
      <c r="N24" s="68" t="str">
        <f t="shared" si="16"/>
        <v/>
      </c>
      <c r="O24" s="68" t="str">
        <f t="shared" si="16"/>
        <v/>
      </c>
      <c r="P24" s="68" t="str">
        <f t="shared" si="16"/>
        <v/>
      </c>
      <c r="Q24" s="68" t="str">
        <f t="shared" si="16"/>
        <v/>
      </c>
      <c r="R24" s="68" t="str">
        <f t="shared" si="16"/>
        <v/>
      </c>
      <c r="S24" s="68" t="str">
        <f t="shared" si="16"/>
        <v/>
      </c>
      <c r="T24" s="68" t="str">
        <f t="shared" si="16"/>
        <v/>
      </c>
      <c r="U24" s="68" t="str">
        <f t="shared" si="16"/>
        <v/>
      </c>
      <c r="V24" s="68" t="str">
        <f t="shared" si="16"/>
        <v/>
      </c>
      <c r="W24" s="68" t="str">
        <f t="shared" si="16"/>
        <v/>
      </c>
      <c r="X24" s="68" t="str">
        <f t="shared" si="16"/>
        <v/>
      </c>
      <c r="Y24" s="68" t="str">
        <f t="shared" si="16"/>
        <v/>
      </c>
      <c r="Z24" s="68" t="str">
        <f t="shared" si="16"/>
        <v/>
      </c>
      <c r="AA24" s="68" t="str">
        <f t="shared" si="16"/>
        <v/>
      </c>
      <c r="AB24" s="68" t="str">
        <f t="shared" si="16"/>
        <v/>
      </c>
      <c r="AC24" s="68" t="str">
        <f t="shared" si="16"/>
        <v/>
      </c>
      <c r="AD24" s="68" t="str">
        <f t="shared" si="16"/>
        <v/>
      </c>
      <c r="AE24" s="68" t="str">
        <f t="shared" si="16"/>
        <v/>
      </c>
      <c r="AF24" s="68" t="str">
        <f t="shared" si="16"/>
        <v/>
      </c>
      <c r="AG24" s="68" t="str">
        <f t="shared" si="16"/>
        <v/>
      </c>
      <c r="AH24" s="68" t="str">
        <f t="shared" si="16"/>
        <v/>
      </c>
      <c r="AI24" s="68" t="str">
        <f t="shared" si="16"/>
        <v/>
      </c>
      <c r="AJ24" s="68" t="str">
        <f t="shared" si="16"/>
        <v/>
      </c>
      <c r="AK24" s="68" t="str">
        <f t="shared" si="16"/>
        <v/>
      </c>
      <c r="AL24" s="68" t="str">
        <f t="shared" si="16"/>
        <v/>
      </c>
      <c r="AM24" s="68" t="str">
        <f t="shared" si="16"/>
        <v/>
      </c>
      <c r="AN24" s="68" t="str">
        <f t="shared" si="16"/>
        <v/>
      </c>
      <c r="AO24" s="68" t="str">
        <f t="shared" si="16"/>
        <v/>
      </c>
      <c r="AP24" s="68" t="str">
        <f t="shared" si="16"/>
        <v/>
      </c>
      <c r="AQ24" s="68" t="str">
        <f t="shared" si="16"/>
        <v/>
      </c>
      <c r="AR24" s="68" t="str">
        <f t="shared" si="16"/>
        <v/>
      </c>
      <c r="AS24" s="68" t="str">
        <f t="shared" si="16"/>
        <v/>
      </c>
      <c r="AT24" s="68" t="str">
        <f t="shared" si="16"/>
        <v/>
      </c>
      <c r="AU24" s="68" t="str">
        <f t="shared" si="16"/>
        <v/>
      </c>
      <c r="AV24" s="68" t="str">
        <f t="shared" si="16"/>
        <v/>
      </c>
      <c r="AW24" s="68" t="str">
        <f t="shared" si="16"/>
        <v/>
      </c>
      <c r="AX24" s="68" t="str">
        <f t="shared" si="16"/>
        <v/>
      </c>
      <c r="AY24" s="68" t="str">
        <f t="shared" si="16"/>
        <v/>
      </c>
      <c r="AZ24" s="68" t="str">
        <f t="shared" si="16"/>
        <v/>
      </c>
      <c r="BA24" s="68" t="str">
        <f t="shared" si="16"/>
        <v/>
      </c>
      <c r="BB24" s="68" t="str">
        <f t="shared" si="16"/>
        <v/>
      </c>
      <c r="BC24" s="68" t="str">
        <f t="shared" si="16"/>
        <v/>
      </c>
      <c r="BD24" s="68" t="str">
        <f t="shared" si="16"/>
        <v/>
      </c>
      <c r="BE24" s="68" t="str">
        <f t="shared" si="16"/>
        <v/>
      </c>
      <c r="BF24" s="68" t="str">
        <f t="shared" si="16"/>
        <v/>
      </c>
      <c r="BG24" s="68" t="str">
        <f t="shared" si="16"/>
        <v/>
      </c>
      <c r="BH24" s="68" t="str">
        <f t="shared" si="16"/>
        <v/>
      </c>
      <c r="BI24" s="68" t="str">
        <f t="shared" si="16"/>
        <v/>
      </c>
      <c r="BJ24" s="68" t="str">
        <f t="shared" si="16"/>
        <v/>
      </c>
      <c r="BK24" s="68" t="str">
        <f t="shared" si="16"/>
        <v/>
      </c>
      <c r="BL24" s="68" t="str">
        <f t="shared" si="16"/>
        <v/>
      </c>
      <c r="BM24" s="27"/>
      <c r="BN24" s="27"/>
      <c r="BO24" s="27"/>
      <c r="BP24" s="27"/>
    </row>
    <row r="25" ht="39.75" customHeight="1">
      <c r="A25" s="15"/>
      <c r="B25" s="70" t="s">
        <v>25</v>
      </c>
      <c r="C25" s="64" t="s">
        <v>31</v>
      </c>
      <c r="D25" s="64"/>
      <c r="E25" s="65"/>
      <c r="F25" s="66">
        <f>F24+3</f>
        <v>46119</v>
      </c>
      <c r="G25" s="67">
        <v>14.0</v>
      </c>
      <c r="H25" s="64"/>
      <c r="I25" s="68" t="str">
        <f t="shared" ref="I25:BL25" si="17">IF(AND($C25="Objetivo",I$7&gt;=$F25,I$7&lt;=$F25+$G25-1),2,IF(AND($C25="Marco",I$7&gt;=$F25,I$7&lt;=$F25+$G25-1),1,""))</f>
        <v/>
      </c>
      <c r="J25" s="68" t="str">
        <f t="shared" si="17"/>
        <v/>
      </c>
      <c r="K25" s="68" t="str">
        <f t="shared" si="17"/>
        <v/>
      </c>
      <c r="L25" s="68" t="str">
        <f t="shared" si="17"/>
        <v/>
      </c>
      <c r="M25" s="68" t="str">
        <f t="shared" si="17"/>
        <v/>
      </c>
      <c r="N25" s="68" t="str">
        <f t="shared" si="17"/>
        <v/>
      </c>
      <c r="O25" s="68" t="str">
        <f t="shared" si="17"/>
        <v/>
      </c>
      <c r="P25" s="68" t="str">
        <f t="shared" si="17"/>
        <v/>
      </c>
      <c r="Q25" s="68" t="str">
        <f t="shared" si="17"/>
        <v/>
      </c>
      <c r="R25" s="68" t="str">
        <f t="shared" si="17"/>
        <v/>
      </c>
      <c r="S25" s="68" t="str">
        <f t="shared" si="17"/>
        <v/>
      </c>
      <c r="T25" s="68" t="str">
        <f t="shared" si="17"/>
        <v/>
      </c>
      <c r="U25" s="68" t="str">
        <f t="shared" si="17"/>
        <v/>
      </c>
      <c r="V25" s="68" t="str">
        <f t="shared" si="17"/>
        <v/>
      </c>
      <c r="W25" s="68" t="str">
        <f t="shared" si="17"/>
        <v/>
      </c>
      <c r="X25" s="68" t="str">
        <f t="shared" si="17"/>
        <v/>
      </c>
      <c r="Y25" s="68" t="str">
        <f t="shared" si="17"/>
        <v/>
      </c>
      <c r="Z25" s="68" t="str">
        <f t="shared" si="17"/>
        <v/>
      </c>
      <c r="AA25" s="68" t="str">
        <f t="shared" si="17"/>
        <v/>
      </c>
      <c r="AB25" s="68" t="str">
        <f t="shared" si="17"/>
        <v/>
      </c>
      <c r="AC25" s="68" t="str">
        <f t="shared" si="17"/>
        <v/>
      </c>
      <c r="AD25" s="68" t="str">
        <f t="shared" si="17"/>
        <v/>
      </c>
      <c r="AE25" s="68" t="str">
        <f t="shared" si="17"/>
        <v/>
      </c>
      <c r="AF25" s="68" t="str">
        <f t="shared" si="17"/>
        <v/>
      </c>
      <c r="AG25" s="68" t="str">
        <f t="shared" si="17"/>
        <v/>
      </c>
      <c r="AH25" s="68" t="str">
        <f t="shared" si="17"/>
        <v/>
      </c>
      <c r="AI25" s="68" t="str">
        <f t="shared" si="17"/>
        <v/>
      </c>
      <c r="AJ25" s="68" t="str">
        <f t="shared" si="17"/>
        <v/>
      </c>
      <c r="AK25" s="68" t="str">
        <f t="shared" si="17"/>
        <v/>
      </c>
      <c r="AL25" s="68" t="str">
        <f t="shared" si="17"/>
        <v/>
      </c>
      <c r="AM25" s="68" t="str">
        <f t="shared" si="17"/>
        <v/>
      </c>
      <c r="AN25" s="68" t="str">
        <f t="shared" si="17"/>
        <v/>
      </c>
      <c r="AO25" s="68" t="str">
        <f t="shared" si="17"/>
        <v/>
      </c>
      <c r="AP25" s="68" t="str">
        <f t="shared" si="17"/>
        <v/>
      </c>
      <c r="AQ25" s="68" t="str">
        <f t="shared" si="17"/>
        <v/>
      </c>
      <c r="AR25" s="68" t="str">
        <f t="shared" si="17"/>
        <v/>
      </c>
      <c r="AS25" s="68" t="str">
        <f t="shared" si="17"/>
        <v/>
      </c>
      <c r="AT25" s="68" t="str">
        <f t="shared" si="17"/>
        <v/>
      </c>
      <c r="AU25" s="68" t="str">
        <f t="shared" si="17"/>
        <v/>
      </c>
      <c r="AV25" s="68" t="str">
        <f t="shared" si="17"/>
        <v/>
      </c>
      <c r="AW25" s="68" t="str">
        <f t="shared" si="17"/>
        <v/>
      </c>
      <c r="AX25" s="68" t="str">
        <f t="shared" si="17"/>
        <v/>
      </c>
      <c r="AY25" s="68" t="str">
        <f t="shared" si="17"/>
        <v/>
      </c>
      <c r="AZ25" s="68" t="str">
        <f t="shared" si="17"/>
        <v/>
      </c>
      <c r="BA25" s="68" t="str">
        <f t="shared" si="17"/>
        <v/>
      </c>
      <c r="BB25" s="68" t="str">
        <f t="shared" si="17"/>
        <v/>
      </c>
      <c r="BC25" s="68" t="str">
        <f t="shared" si="17"/>
        <v/>
      </c>
      <c r="BD25" s="68" t="str">
        <f t="shared" si="17"/>
        <v/>
      </c>
      <c r="BE25" s="68" t="str">
        <f t="shared" si="17"/>
        <v/>
      </c>
      <c r="BF25" s="68" t="str">
        <f t="shared" si="17"/>
        <v/>
      </c>
      <c r="BG25" s="68" t="str">
        <f t="shared" si="17"/>
        <v/>
      </c>
      <c r="BH25" s="68" t="str">
        <f t="shared" si="17"/>
        <v/>
      </c>
      <c r="BI25" s="68" t="str">
        <f t="shared" si="17"/>
        <v/>
      </c>
      <c r="BJ25" s="68" t="str">
        <f t="shared" si="17"/>
        <v/>
      </c>
      <c r="BK25" s="68" t="str">
        <f t="shared" si="17"/>
        <v/>
      </c>
      <c r="BL25" s="68" t="str">
        <f t="shared" si="17"/>
        <v/>
      </c>
      <c r="BM25" s="27"/>
      <c r="BN25" s="27"/>
      <c r="BO25" s="27"/>
      <c r="BP25" s="27"/>
    </row>
    <row r="26" ht="39.75" customHeight="1">
      <c r="A26" s="15"/>
      <c r="B26" s="70" t="s">
        <v>27</v>
      </c>
      <c r="C26" s="64" t="s">
        <v>34</v>
      </c>
      <c r="D26" s="64"/>
      <c r="E26" s="65"/>
      <c r="F26" s="66">
        <f>F25+15</f>
        <v>46134</v>
      </c>
      <c r="G26" s="67">
        <v>6.0</v>
      </c>
      <c r="H26" s="64"/>
      <c r="I26" s="68" t="str">
        <f t="shared" ref="I26:BL26" si="18">IF(AND($C26="Objetivo",I$7&gt;=$F26,I$7&lt;=$F26+$G26-1),2,IF(AND($C26="Marco",I$7&gt;=$F26,I$7&lt;=$F26+$G26-1),1,""))</f>
        <v/>
      </c>
      <c r="J26" s="68" t="str">
        <f t="shared" si="18"/>
        <v/>
      </c>
      <c r="K26" s="68" t="str">
        <f t="shared" si="18"/>
        <v/>
      </c>
      <c r="L26" s="68" t="str">
        <f t="shared" si="18"/>
        <v/>
      </c>
      <c r="M26" s="68" t="str">
        <f t="shared" si="18"/>
        <v/>
      </c>
      <c r="N26" s="68" t="str">
        <f t="shared" si="18"/>
        <v/>
      </c>
      <c r="O26" s="68" t="str">
        <f t="shared" si="18"/>
        <v/>
      </c>
      <c r="P26" s="68" t="str">
        <f t="shared" si="18"/>
        <v/>
      </c>
      <c r="Q26" s="68" t="str">
        <f t="shared" si="18"/>
        <v/>
      </c>
      <c r="R26" s="68" t="str">
        <f t="shared" si="18"/>
        <v/>
      </c>
      <c r="S26" s="68" t="str">
        <f t="shared" si="18"/>
        <v/>
      </c>
      <c r="T26" s="68" t="str">
        <f t="shared" si="18"/>
        <v/>
      </c>
      <c r="U26" s="68" t="str">
        <f t="shared" si="18"/>
        <v/>
      </c>
      <c r="V26" s="68" t="str">
        <f t="shared" si="18"/>
        <v/>
      </c>
      <c r="W26" s="68" t="str">
        <f t="shared" si="18"/>
        <v/>
      </c>
      <c r="X26" s="68" t="str">
        <f t="shared" si="18"/>
        <v/>
      </c>
      <c r="Y26" s="68" t="str">
        <f t="shared" si="18"/>
        <v/>
      </c>
      <c r="Z26" s="68" t="str">
        <f t="shared" si="18"/>
        <v/>
      </c>
      <c r="AA26" s="68" t="str">
        <f t="shared" si="18"/>
        <v/>
      </c>
      <c r="AB26" s="68" t="str">
        <f t="shared" si="18"/>
        <v/>
      </c>
      <c r="AC26" s="68" t="str">
        <f t="shared" si="18"/>
        <v/>
      </c>
      <c r="AD26" s="68" t="str">
        <f t="shared" si="18"/>
        <v/>
      </c>
      <c r="AE26" s="68" t="str">
        <f t="shared" si="18"/>
        <v/>
      </c>
      <c r="AF26" s="68" t="str">
        <f t="shared" si="18"/>
        <v/>
      </c>
      <c r="AG26" s="68" t="str">
        <f t="shared" si="18"/>
        <v/>
      </c>
      <c r="AH26" s="68" t="str">
        <f t="shared" si="18"/>
        <v/>
      </c>
      <c r="AI26" s="68" t="str">
        <f t="shared" si="18"/>
        <v/>
      </c>
      <c r="AJ26" s="68" t="str">
        <f t="shared" si="18"/>
        <v/>
      </c>
      <c r="AK26" s="68" t="str">
        <f t="shared" si="18"/>
        <v/>
      </c>
      <c r="AL26" s="68" t="str">
        <f t="shared" si="18"/>
        <v/>
      </c>
      <c r="AM26" s="68" t="str">
        <f t="shared" si="18"/>
        <v/>
      </c>
      <c r="AN26" s="68" t="str">
        <f t="shared" si="18"/>
        <v/>
      </c>
      <c r="AO26" s="68" t="str">
        <f t="shared" si="18"/>
        <v/>
      </c>
      <c r="AP26" s="68" t="str">
        <f t="shared" si="18"/>
        <v/>
      </c>
      <c r="AQ26" s="68" t="str">
        <f t="shared" si="18"/>
        <v/>
      </c>
      <c r="AR26" s="68" t="str">
        <f t="shared" si="18"/>
        <v/>
      </c>
      <c r="AS26" s="68" t="str">
        <f t="shared" si="18"/>
        <v/>
      </c>
      <c r="AT26" s="68" t="str">
        <f t="shared" si="18"/>
        <v/>
      </c>
      <c r="AU26" s="68" t="str">
        <f t="shared" si="18"/>
        <v/>
      </c>
      <c r="AV26" s="68" t="str">
        <f t="shared" si="18"/>
        <v/>
      </c>
      <c r="AW26" s="68" t="str">
        <f t="shared" si="18"/>
        <v/>
      </c>
      <c r="AX26" s="68" t="str">
        <f t="shared" si="18"/>
        <v/>
      </c>
      <c r="AY26" s="68" t="str">
        <f t="shared" si="18"/>
        <v/>
      </c>
      <c r="AZ26" s="68" t="str">
        <f t="shared" si="18"/>
        <v/>
      </c>
      <c r="BA26" s="68" t="str">
        <f t="shared" si="18"/>
        <v/>
      </c>
      <c r="BB26" s="68" t="str">
        <f t="shared" si="18"/>
        <v/>
      </c>
      <c r="BC26" s="68" t="str">
        <f t="shared" si="18"/>
        <v/>
      </c>
      <c r="BD26" s="68" t="str">
        <f t="shared" si="18"/>
        <v/>
      </c>
      <c r="BE26" s="68" t="str">
        <f t="shared" si="18"/>
        <v/>
      </c>
      <c r="BF26" s="68" t="str">
        <f t="shared" si="18"/>
        <v/>
      </c>
      <c r="BG26" s="68" t="str">
        <f t="shared" si="18"/>
        <v/>
      </c>
      <c r="BH26" s="68" t="str">
        <f t="shared" si="18"/>
        <v/>
      </c>
      <c r="BI26" s="68" t="str">
        <f t="shared" si="18"/>
        <v/>
      </c>
      <c r="BJ26" s="68" t="str">
        <f t="shared" si="18"/>
        <v/>
      </c>
      <c r="BK26" s="68" t="str">
        <f t="shared" si="18"/>
        <v/>
      </c>
      <c r="BL26" s="68" t="str">
        <f t="shared" si="18"/>
        <v/>
      </c>
      <c r="BM26" s="27"/>
      <c r="BN26" s="27"/>
      <c r="BO26" s="27"/>
      <c r="BP26" s="27"/>
    </row>
    <row r="27" ht="39.75" customHeight="1">
      <c r="A27" s="15"/>
      <c r="B27" s="70" t="s">
        <v>29</v>
      </c>
      <c r="C27" s="64" t="s">
        <v>23</v>
      </c>
      <c r="D27" s="64"/>
      <c r="E27" s="65"/>
      <c r="F27" s="66">
        <f>F21+22</f>
        <v>46138</v>
      </c>
      <c r="G27" s="67">
        <v>3.0</v>
      </c>
      <c r="H27" s="64"/>
      <c r="I27" s="68" t="str">
        <f t="shared" ref="I27:BL27" si="19">IF(AND($C27="Objetivo",I$7&gt;=$F27,I$7&lt;=$F27+$G27-1),2,IF(AND($C27="Marco",I$7&gt;=$F27,I$7&lt;=$F27+$G27-1),1,""))</f>
        <v/>
      </c>
      <c r="J27" s="68" t="str">
        <f t="shared" si="19"/>
        <v/>
      </c>
      <c r="K27" s="68" t="str">
        <f t="shared" si="19"/>
        <v/>
      </c>
      <c r="L27" s="68" t="str">
        <f t="shared" si="19"/>
        <v/>
      </c>
      <c r="M27" s="68" t="str">
        <f t="shared" si="19"/>
        <v/>
      </c>
      <c r="N27" s="68" t="str">
        <f t="shared" si="19"/>
        <v/>
      </c>
      <c r="O27" s="68" t="str">
        <f t="shared" si="19"/>
        <v/>
      </c>
      <c r="P27" s="68" t="str">
        <f t="shared" si="19"/>
        <v/>
      </c>
      <c r="Q27" s="68" t="str">
        <f t="shared" si="19"/>
        <v/>
      </c>
      <c r="R27" s="68" t="str">
        <f t="shared" si="19"/>
        <v/>
      </c>
      <c r="S27" s="68" t="str">
        <f t="shared" si="19"/>
        <v/>
      </c>
      <c r="T27" s="68" t="str">
        <f t="shared" si="19"/>
        <v/>
      </c>
      <c r="U27" s="68" t="str">
        <f t="shared" si="19"/>
        <v/>
      </c>
      <c r="V27" s="68" t="str">
        <f t="shared" si="19"/>
        <v/>
      </c>
      <c r="W27" s="68" t="str">
        <f t="shared" si="19"/>
        <v/>
      </c>
      <c r="X27" s="68" t="str">
        <f t="shared" si="19"/>
        <v/>
      </c>
      <c r="Y27" s="68" t="str">
        <f t="shared" si="19"/>
        <v/>
      </c>
      <c r="Z27" s="68" t="str">
        <f t="shared" si="19"/>
        <v/>
      </c>
      <c r="AA27" s="68" t="str">
        <f t="shared" si="19"/>
        <v/>
      </c>
      <c r="AB27" s="68" t="str">
        <f t="shared" si="19"/>
        <v/>
      </c>
      <c r="AC27" s="68" t="str">
        <f t="shared" si="19"/>
        <v/>
      </c>
      <c r="AD27" s="68" t="str">
        <f t="shared" si="19"/>
        <v/>
      </c>
      <c r="AE27" s="68" t="str">
        <f t="shared" si="19"/>
        <v/>
      </c>
      <c r="AF27" s="68" t="str">
        <f t="shared" si="19"/>
        <v/>
      </c>
      <c r="AG27" s="68" t="str">
        <f t="shared" si="19"/>
        <v/>
      </c>
      <c r="AH27" s="68" t="str">
        <f t="shared" si="19"/>
        <v/>
      </c>
      <c r="AI27" s="68" t="str">
        <f t="shared" si="19"/>
        <v/>
      </c>
      <c r="AJ27" s="68" t="str">
        <f t="shared" si="19"/>
        <v/>
      </c>
      <c r="AK27" s="68" t="str">
        <f t="shared" si="19"/>
        <v/>
      </c>
      <c r="AL27" s="68" t="str">
        <f t="shared" si="19"/>
        <v/>
      </c>
      <c r="AM27" s="68" t="str">
        <f t="shared" si="19"/>
        <v/>
      </c>
      <c r="AN27" s="68" t="str">
        <f t="shared" si="19"/>
        <v/>
      </c>
      <c r="AO27" s="68" t="str">
        <f t="shared" si="19"/>
        <v/>
      </c>
      <c r="AP27" s="68" t="str">
        <f t="shared" si="19"/>
        <v/>
      </c>
      <c r="AQ27" s="68" t="str">
        <f t="shared" si="19"/>
        <v/>
      </c>
      <c r="AR27" s="68" t="str">
        <f t="shared" si="19"/>
        <v/>
      </c>
      <c r="AS27" s="68">
        <f t="shared" si="19"/>
        <v>2</v>
      </c>
      <c r="AT27" s="68">
        <f t="shared" si="19"/>
        <v>2</v>
      </c>
      <c r="AU27" s="68">
        <f t="shared" si="19"/>
        <v>2</v>
      </c>
      <c r="AV27" s="68" t="str">
        <f t="shared" si="19"/>
        <v/>
      </c>
      <c r="AW27" s="68" t="str">
        <f t="shared" si="19"/>
        <v/>
      </c>
      <c r="AX27" s="68" t="str">
        <f t="shared" si="19"/>
        <v/>
      </c>
      <c r="AY27" s="68" t="str">
        <f t="shared" si="19"/>
        <v/>
      </c>
      <c r="AZ27" s="68" t="str">
        <f t="shared" si="19"/>
        <v/>
      </c>
      <c r="BA27" s="68" t="str">
        <f t="shared" si="19"/>
        <v/>
      </c>
      <c r="BB27" s="68" t="str">
        <f t="shared" si="19"/>
        <v/>
      </c>
      <c r="BC27" s="68" t="str">
        <f t="shared" si="19"/>
        <v/>
      </c>
      <c r="BD27" s="68" t="str">
        <f t="shared" si="19"/>
        <v/>
      </c>
      <c r="BE27" s="68" t="str">
        <f t="shared" si="19"/>
        <v/>
      </c>
      <c r="BF27" s="68" t="str">
        <f t="shared" si="19"/>
        <v/>
      </c>
      <c r="BG27" s="68" t="str">
        <f t="shared" si="19"/>
        <v/>
      </c>
      <c r="BH27" s="68" t="str">
        <f t="shared" si="19"/>
        <v/>
      </c>
      <c r="BI27" s="68" t="str">
        <f t="shared" si="19"/>
        <v/>
      </c>
      <c r="BJ27" s="68" t="str">
        <f t="shared" si="19"/>
        <v/>
      </c>
      <c r="BK27" s="68" t="str">
        <f t="shared" si="19"/>
        <v/>
      </c>
      <c r="BL27" s="68" t="str">
        <f t="shared" si="19"/>
        <v/>
      </c>
      <c r="BM27" s="27"/>
      <c r="BN27" s="27"/>
      <c r="BO27" s="27"/>
      <c r="BP27" s="27"/>
    </row>
    <row r="28" ht="39.75" customHeight="1">
      <c r="A28" s="15"/>
      <c r="B28" s="70" t="s">
        <v>30</v>
      </c>
      <c r="C28" s="64" t="s">
        <v>28</v>
      </c>
      <c r="D28" s="64"/>
      <c r="E28" s="65"/>
      <c r="F28" s="66">
        <f>F16</f>
        <v>46107</v>
      </c>
      <c r="G28" s="67">
        <v>19.0</v>
      </c>
      <c r="H28" s="64"/>
      <c r="I28" s="68" t="str">
        <f t="shared" ref="I28:BL28" si="20">IF(AND($C28="Objetivo",I$7&gt;=$F28,I$7&lt;=$F28+$G28-1),2,IF(AND($C28="Marco",I$7&gt;=$F28,I$7&lt;=$F28+$G28-1),1,""))</f>
        <v/>
      </c>
      <c r="J28" s="68" t="str">
        <f t="shared" si="20"/>
        <v/>
      </c>
      <c r="K28" s="68" t="str">
        <f t="shared" si="20"/>
        <v/>
      </c>
      <c r="L28" s="68" t="str">
        <f t="shared" si="20"/>
        <v/>
      </c>
      <c r="M28" s="68" t="str">
        <f t="shared" si="20"/>
        <v/>
      </c>
      <c r="N28" s="68" t="str">
        <f t="shared" si="20"/>
        <v/>
      </c>
      <c r="O28" s="68" t="str">
        <f t="shared" si="20"/>
        <v/>
      </c>
      <c r="P28" s="68" t="str">
        <f t="shared" si="20"/>
        <v/>
      </c>
      <c r="Q28" s="68" t="str">
        <f t="shared" si="20"/>
        <v/>
      </c>
      <c r="R28" s="68" t="str">
        <f t="shared" si="20"/>
        <v/>
      </c>
      <c r="S28" s="68" t="str">
        <f t="shared" si="20"/>
        <v/>
      </c>
      <c r="T28" s="68" t="str">
        <f t="shared" si="20"/>
        <v/>
      </c>
      <c r="U28" s="68" t="str">
        <f t="shared" si="20"/>
        <v/>
      </c>
      <c r="V28" s="68" t="str">
        <f t="shared" si="20"/>
        <v/>
      </c>
      <c r="W28" s="68" t="str">
        <f t="shared" si="20"/>
        <v/>
      </c>
      <c r="X28" s="68" t="str">
        <f t="shared" si="20"/>
        <v/>
      </c>
      <c r="Y28" s="68" t="str">
        <f t="shared" si="20"/>
        <v/>
      </c>
      <c r="Z28" s="68" t="str">
        <f t="shared" si="20"/>
        <v/>
      </c>
      <c r="AA28" s="68" t="str">
        <f t="shared" si="20"/>
        <v/>
      </c>
      <c r="AB28" s="68" t="str">
        <f t="shared" si="20"/>
        <v/>
      </c>
      <c r="AC28" s="68" t="str">
        <f t="shared" si="20"/>
        <v/>
      </c>
      <c r="AD28" s="68" t="str">
        <f t="shared" si="20"/>
        <v/>
      </c>
      <c r="AE28" s="68" t="str">
        <f t="shared" si="20"/>
        <v/>
      </c>
      <c r="AF28" s="68" t="str">
        <f t="shared" si="20"/>
        <v/>
      </c>
      <c r="AG28" s="68" t="str">
        <f t="shared" si="20"/>
        <v/>
      </c>
      <c r="AH28" s="68" t="str">
        <f t="shared" si="20"/>
        <v/>
      </c>
      <c r="AI28" s="68" t="str">
        <f t="shared" si="20"/>
        <v/>
      </c>
      <c r="AJ28" s="68" t="str">
        <f t="shared" si="20"/>
        <v/>
      </c>
      <c r="AK28" s="68" t="str">
        <f t="shared" si="20"/>
        <v/>
      </c>
      <c r="AL28" s="68" t="str">
        <f t="shared" si="20"/>
        <v/>
      </c>
      <c r="AM28" s="68" t="str">
        <f t="shared" si="20"/>
        <v/>
      </c>
      <c r="AN28" s="68" t="str">
        <f t="shared" si="20"/>
        <v/>
      </c>
      <c r="AO28" s="68" t="str">
        <f t="shared" si="20"/>
        <v/>
      </c>
      <c r="AP28" s="68" t="str">
        <f t="shared" si="20"/>
        <v/>
      </c>
      <c r="AQ28" s="68" t="str">
        <f t="shared" si="20"/>
        <v/>
      </c>
      <c r="AR28" s="68" t="str">
        <f t="shared" si="20"/>
        <v/>
      </c>
      <c r="AS28" s="68" t="str">
        <f t="shared" si="20"/>
        <v/>
      </c>
      <c r="AT28" s="68" t="str">
        <f t="shared" si="20"/>
        <v/>
      </c>
      <c r="AU28" s="68" t="str">
        <f t="shared" si="20"/>
        <v/>
      </c>
      <c r="AV28" s="68" t="str">
        <f t="shared" si="20"/>
        <v/>
      </c>
      <c r="AW28" s="68" t="str">
        <f t="shared" si="20"/>
        <v/>
      </c>
      <c r="AX28" s="68" t="str">
        <f t="shared" si="20"/>
        <v/>
      </c>
      <c r="AY28" s="68" t="str">
        <f t="shared" si="20"/>
        <v/>
      </c>
      <c r="AZ28" s="68" t="str">
        <f t="shared" si="20"/>
        <v/>
      </c>
      <c r="BA28" s="68" t="str">
        <f t="shared" si="20"/>
        <v/>
      </c>
      <c r="BB28" s="68" t="str">
        <f t="shared" si="20"/>
        <v/>
      </c>
      <c r="BC28" s="68" t="str">
        <f t="shared" si="20"/>
        <v/>
      </c>
      <c r="BD28" s="68" t="str">
        <f t="shared" si="20"/>
        <v/>
      </c>
      <c r="BE28" s="68" t="str">
        <f t="shared" si="20"/>
        <v/>
      </c>
      <c r="BF28" s="68" t="str">
        <f t="shared" si="20"/>
        <v/>
      </c>
      <c r="BG28" s="68" t="str">
        <f t="shared" si="20"/>
        <v/>
      </c>
      <c r="BH28" s="68" t="str">
        <f t="shared" si="20"/>
        <v/>
      </c>
      <c r="BI28" s="68" t="str">
        <f t="shared" si="20"/>
        <v/>
      </c>
      <c r="BJ28" s="68" t="str">
        <f t="shared" si="20"/>
        <v/>
      </c>
      <c r="BK28" s="68" t="str">
        <f t="shared" si="20"/>
        <v/>
      </c>
      <c r="BL28" s="68" t="str">
        <f t="shared" si="20"/>
        <v/>
      </c>
      <c r="BM28" s="27"/>
      <c r="BN28" s="27"/>
      <c r="BO28" s="27"/>
      <c r="BP28" s="27"/>
    </row>
    <row r="29" ht="39.75" customHeight="1">
      <c r="A29" s="15"/>
      <c r="B29" s="63" t="s">
        <v>36</v>
      </c>
      <c r="C29" s="64"/>
      <c r="D29" s="64"/>
      <c r="E29" s="65"/>
      <c r="F29" s="66"/>
      <c r="G29" s="67"/>
      <c r="H29" s="64"/>
      <c r="I29" s="68" t="str">
        <f t="shared" ref="I29:BL29" si="21">IF(AND($C29="Objetivo",I$7&gt;=$F29,I$7&lt;=$F29+$G29-1),2,IF(AND($C29="Marco",I$7&gt;=$F29,I$7&lt;=$F29+$G29-1),1,""))</f>
        <v/>
      </c>
      <c r="J29" s="68" t="str">
        <f t="shared" si="21"/>
        <v/>
      </c>
      <c r="K29" s="68" t="str">
        <f t="shared" si="21"/>
        <v/>
      </c>
      <c r="L29" s="68" t="str">
        <f t="shared" si="21"/>
        <v/>
      </c>
      <c r="M29" s="68" t="str">
        <f t="shared" si="21"/>
        <v/>
      </c>
      <c r="N29" s="68" t="str">
        <f t="shared" si="21"/>
        <v/>
      </c>
      <c r="O29" s="68" t="str">
        <f t="shared" si="21"/>
        <v/>
      </c>
      <c r="P29" s="68" t="str">
        <f t="shared" si="21"/>
        <v/>
      </c>
      <c r="Q29" s="68" t="str">
        <f t="shared" si="21"/>
        <v/>
      </c>
      <c r="R29" s="68" t="str">
        <f t="shared" si="21"/>
        <v/>
      </c>
      <c r="S29" s="68" t="str">
        <f t="shared" si="21"/>
        <v/>
      </c>
      <c r="T29" s="68" t="str">
        <f t="shared" si="21"/>
        <v/>
      </c>
      <c r="U29" s="68" t="str">
        <f t="shared" si="21"/>
        <v/>
      </c>
      <c r="V29" s="68" t="str">
        <f t="shared" si="21"/>
        <v/>
      </c>
      <c r="W29" s="68" t="str">
        <f t="shared" si="21"/>
        <v/>
      </c>
      <c r="X29" s="68" t="str">
        <f t="shared" si="21"/>
        <v/>
      </c>
      <c r="Y29" s="68" t="str">
        <f t="shared" si="21"/>
        <v/>
      </c>
      <c r="Z29" s="68" t="str">
        <f t="shared" si="21"/>
        <v/>
      </c>
      <c r="AA29" s="68" t="str">
        <f t="shared" si="21"/>
        <v/>
      </c>
      <c r="AB29" s="68" t="str">
        <f t="shared" si="21"/>
        <v/>
      </c>
      <c r="AC29" s="68" t="str">
        <f t="shared" si="21"/>
        <v/>
      </c>
      <c r="AD29" s="68" t="str">
        <f t="shared" si="21"/>
        <v/>
      </c>
      <c r="AE29" s="68" t="str">
        <f t="shared" si="21"/>
        <v/>
      </c>
      <c r="AF29" s="68" t="str">
        <f t="shared" si="21"/>
        <v/>
      </c>
      <c r="AG29" s="68" t="str">
        <f t="shared" si="21"/>
        <v/>
      </c>
      <c r="AH29" s="68" t="str">
        <f t="shared" si="21"/>
        <v/>
      </c>
      <c r="AI29" s="68" t="str">
        <f t="shared" si="21"/>
        <v/>
      </c>
      <c r="AJ29" s="68" t="str">
        <f t="shared" si="21"/>
        <v/>
      </c>
      <c r="AK29" s="68" t="str">
        <f t="shared" si="21"/>
        <v/>
      </c>
      <c r="AL29" s="68" t="str">
        <f t="shared" si="21"/>
        <v/>
      </c>
      <c r="AM29" s="68" t="str">
        <f t="shared" si="21"/>
        <v/>
      </c>
      <c r="AN29" s="68" t="str">
        <f t="shared" si="21"/>
        <v/>
      </c>
      <c r="AO29" s="68" t="str">
        <f t="shared" si="21"/>
        <v/>
      </c>
      <c r="AP29" s="68" t="str">
        <f t="shared" si="21"/>
        <v/>
      </c>
      <c r="AQ29" s="68" t="str">
        <f t="shared" si="21"/>
        <v/>
      </c>
      <c r="AR29" s="68" t="str">
        <f t="shared" si="21"/>
        <v/>
      </c>
      <c r="AS29" s="68" t="str">
        <f t="shared" si="21"/>
        <v/>
      </c>
      <c r="AT29" s="68" t="str">
        <f t="shared" si="21"/>
        <v/>
      </c>
      <c r="AU29" s="68" t="str">
        <f t="shared" si="21"/>
        <v/>
      </c>
      <c r="AV29" s="68" t="str">
        <f t="shared" si="21"/>
        <v/>
      </c>
      <c r="AW29" s="68" t="str">
        <f t="shared" si="21"/>
        <v/>
      </c>
      <c r="AX29" s="68" t="str">
        <f t="shared" si="21"/>
        <v/>
      </c>
      <c r="AY29" s="68" t="str">
        <f t="shared" si="21"/>
        <v/>
      </c>
      <c r="AZ29" s="68" t="str">
        <f t="shared" si="21"/>
        <v/>
      </c>
      <c r="BA29" s="68" t="str">
        <f t="shared" si="21"/>
        <v/>
      </c>
      <c r="BB29" s="68" t="str">
        <f t="shared" si="21"/>
        <v/>
      </c>
      <c r="BC29" s="68" t="str">
        <f t="shared" si="21"/>
        <v/>
      </c>
      <c r="BD29" s="68" t="str">
        <f t="shared" si="21"/>
        <v/>
      </c>
      <c r="BE29" s="68" t="str">
        <f t="shared" si="21"/>
        <v/>
      </c>
      <c r="BF29" s="68" t="str">
        <f t="shared" si="21"/>
        <v/>
      </c>
      <c r="BG29" s="68" t="str">
        <f t="shared" si="21"/>
        <v/>
      </c>
      <c r="BH29" s="68" t="str">
        <f t="shared" si="21"/>
        <v/>
      </c>
      <c r="BI29" s="68" t="str">
        <f t="shared" si="21"/>
        <v/>
      </c>
      <c r="BJ29" s="68" t="str">
        <f t="shared" si="21"/>
        <v/>
      </c>
      <c r="BK29" s="68" t="str">
        <f t="shared" si="21"/>
        <v/>
      </c>
      <c r="BL29" s="68" t="str">
        <f t="shared" si="21"/>
        <v/>
      </c>
      <c r="BM29" s="27"/>
      <c r="BN29" s="27"/>
      <c r="BO29" s="27"/>
      <c r="BP29" s="27"/>
    </row>
    <row r="30" ht="39.75" customHeight="1">
      <c r="A30" s="15"/>
      <c r="B30" s="70" t="s">
        <v>22</v>
      </c>
      <c r="C30" s="64"/>
      <c r="D30" s="64"/>
      <c r="E30" s="65"/>
      <c r="F30" s="66">
        <f>F27+3</f>
        <v>46141</v>
      </c>
      <c r="G30" s="67">
        <v>15.0</v>
      </c>
      <c r="H30" s="64"/>
      <c r="I30" s="68" t="str">
        <f t="shared" ref="I30:BL30" si="22">IF(AND($C30="Objetivo",I$7&gt;=$F30,I$7&lt;=$F30+$G30-1),2,IF(AND($C30="Marco",I$7&gt;=$F30,I$7&lt;=$F30+$G30-1),1,""))</f>
        <v/>
      </c>
      <c r="J30" s="68" t="str">
        <f t="shared" si="22"/>
        <v/>
      </c>
      <c r="K30" s="68" t="str">
        <f t="shared" si="22"/>
        <v/>
      </c>
      <c r="L30" s="68" t="str">
        <f t="shared" si="22"/>
        <v/>
      </c>
      <c r="M30" s="68" t="str">
        <f t="shared" si="22"/>
        <v/>
      </c>
      <c r="N30" s="68" t="str">
        <f t="shared" si="22"/>
        <v/>
      </c>
      <c r="O30" s="68" t="str">
        <f t="shared" si="22"/>
        <v/>
      </c>
      <c r="P30" s="68" t="str">
        <f t="shared" si="22"/>
        <v/>
      </c>
      <c r="Q30" s="68" t="str">
        <f t="shared" si="22"/>
        <v/>
      </c>
      <c r="R30" s="68" t="str">
        <f t="shared" si="22"/>
        <v/>
      </c>
      <c r="S30" s="68" t="str">
        <f t="shared" si="22"/>
        <v/>
      </c>
      <c r="T30" s="68" t="str">
        <f t="shared" si="22"/>
        <v/>
      </c>
      <c r="U30" s="68" t="str">
        <f t="shared" si="22"/>
        <v/>
      </c>
      <c r="V30" s="68" t="str">
        <f t="shared" si="22"/>
        <v/>
      </c>
      <c r="W30" s="68" t="str">
        <f t="shared" si="22"/>
        <v/>
      </c>
      <c r="X30" s="68" t="str">
        <f t="shared" si="22"/>
        <v/>
      </c>
      <c r="Y30" s="68" t="str">
        <f t="shared" si="22"/>
        <v/>
      </c>
      <c r="Z30" s="68" t="str">
        <f t="shared" si="22"/>
        <v/>
      </c>
      <c r="AA30" s="68" t="str">
        <f t="shared" si="22"/>
        <v/>
      </c>
      <c r="AB30" s="68" t="str">
        <f t="shared" si="22"/>
        <v/>
      </c>
      <c r="AC30" s="68" t="str">
        <f t="shared" si="22"/>
        <v/>
      </c>
      <c r="AD30" s="68" t="str">
        <f t="shared" si="22"/>
        <v/>
      </c>
      <c r="AE30" s="68" t="str">
        <f t="shared" si="22"/>
        <v/>
      </c>
      <c r="AF30" s="68" t="str">
        <f t="shared" si="22"/>
        <v/>
      </c>
      <c r="AG30" s="68" t="str">
        <f t="shared" si="22"/>
        <v/>
      </c>
      <c r="AH30" s="68" t="str">
        <f t="shared" si="22"/>
        <v/>
      </c>
      <c r="AI30" s="68" t="str">
        <f t="shared" si="22"/>
        <v/>
      </c>
      <c r="AJ30" s="68" t="str">
        <f t="shared" si="22"/>
        <v/>
      </c>
      <c r="AK30" s="68" t="str">
        <f t="shared" si="22"/>
        <v/>
      </c>
      <c r="AL30" s="68" t="str">
        <f t="shared" si="22"/>
        <v/>
      </c>
      <c r="AM30" s="68" t="str">
        <f t="shared" si="22"/>
        <v/>
      </c>
      <c r="AN30" s="68" t="str">
        <f t="shared" si="22"/>
        <v/>
      </c>
      <c r="AO30" s="68" t="str">
        <f t="shared" si="22"/>
        <v/>
      </c>
      <c r="AP30" s="68" t="str">
        <f t="shared" si="22"/>
        <v/>
      </c>
      <c r="AQ30" s="68" t="str">
        <f t="shared" si="22"/>
        <v/>
      </c>
      <c r="AR30" s="68" t="str">
        <f t="shared" si="22"/>
        <v/>
      </c>
      <c r="AS30" s="68" t="str">
        <f t="shared" si="22"/>
        <v/>
      </c>
      <c r="AT30" s="68" t="str">
        <f t="shared" si="22"/>
        <v/>
      </c>
      <c r="AU30" s="68" t="str">
        <f t="shared" si="22"/>
        <v/>
      </c>
      <c r="AV30" s="68" t="str">
        <f t="shared" si="22"/>
        <v/>
      </c>
      <c r="AW30" s="68" t="str">
        <f t="shared" si="22"/>
        <v/>
      </c>
      <c r="AX30" s="68" t="str">
        <f t="shared" si="22"/>
        <v/>
      </c>
      <c r="AY30" s="68" t="str">
        <f t="shared" si="22"/>
        <v/>
      </c>
      <c r="AZ30" s="68" t="str">
        <f t="shared" si="22"/>
        <v/>
      </c>
      <c r="BA30" s="68" t="str">
        <f t="shared" si="22"/>
        <v/>
      </c>
      <c r="BB30" s="68" t="str">
        <f t="shared" si="22"/>
        <v/>
      </c>
      <c r="BC30" s="68" t="str">
        <f t="shared" si="22"/>
        <v/>
      </c>
      <c r="BD30" s="68" t="str">
        <f t="shared" si="22"/>
        <v/>
      </c>
      <c r="BE30" s="68" t="str">
        <f t="shared" si="22"/>
        <v/>
      </c>
      <c r="BF30" s="68" t="str">
        <f t="shared" si="22"/>
        <v/>
      </c>
      <c r="BG30" s="68" t="str">
        <f t="shared" si="22"/>
        <v/>
      </c>
      <c r="BH30" s="68" t="str">
        <f t="shared" si="22"/>
        <v/>
      </c>
      <c r="BI30" s="68" t="str">
        <f t="shared" si="22"/>
        <v/>
      </c>
      <c r="BJ30" s="68" t="str">
        <f t="shared" si="22"/>
        <v/>
      </c>
      <c r="BK30" s="68" t="str">
        <f t="shared" si="22"/>
        <v/>
      </c>
      <c r="BL30" s="68" t="str">
        <f t="shared" si="22"/>
        <v/>
      </c>
      <c r="BM30" s="27"/>
      <c r="BN30" s="27"/>
      <c r="BO30" s="27"/>
      <c r="BP30" s="27"/>
    </row>
    <row r="31" ht="39.75" customHeight="1">
      <c r="A31" s="15"/>
      <c r="B31" s="70" t="s">
        <v>25</v>
      </c>
      <c r="C31" s="64"/>
      <c r="D31" s="64"/>
      <c r="E31" s="65"/>
      <c r="F31" s="66">
        <f>F30+14</f>
        <v>46155</v>
      </c>
      <c r="G31" s="67">
        <v>5.0</v>
      </c>
      <c r="H31" s="64"/>
      <c r="I31" s="68" t="str">
        <f t="shared" ref="I31:BL31" si="23">IF(AND($C31="Objetivo",I$7&gt;=$F31,I$7&lt;=$F31+$G31-1),2,IF(AND($C31="Marco",I$7&gt;=$F31,I$7&lt;=$F31+$G31-1),1,""))</f>
        <v/>
      </c>
      <c r="J31" s="68" t="str">
        <f t="shared" si="23"/>
        <v/>
      </c>
      <c r="K31" s="68" t="str">
        <f t="shared" si="23"/>
        <v/>
      </c>
      <c r="L31" s="68" t="str">
        <f t="shared" si="23"/>
        <v/>
      </c>
      <c r="M31" s="68" t="str">
        <f t="shared" si="23"/>
        <v/>
      </c>
      <c r="N31" s="68" t="str">
        <f t="shared" si="23"/>
        <v/>
      </c>
      <c r="O31" s="68" t="str">
        <f t="shared" si="23"/>
        <v/>
      </c>
      <c r="P31" s="68" t="str">
        <f t="shared" si="23"/>
        <v/>
      </c>
      <c r="Q31" s="68" t="str">
        <f t="shared" si="23"/>
        <v/>
      </c>
      <c r="R31" s="68" t="str">
        <f t="shared" si="23"/>
        <v/>
      </c>
      <c r="S31" s="68" t="str">
        <f t="shared" si="23"/>
        <v/>
      </c>
      <c r="T31" s="68" t="str">
        <f t="shared" si="23"/>
        <v/>
      </c>
      <c r="U31" s="68" t="str">
        <f t="shared" si="23"/>
        <v/>
      </c>
      <c r="V31" s="68" t="str">
        <f t="shared" si="23"/>
        <v/>
      </c>
      <c r="W31" s="68" t="str">
        <f t="shared" si="23"/>
        <v/>
      </c>
      <c r="X31" s="68" t="str">
        <f t="shared" si="23"/>
        <v/>
      </c>
      <c r="Y31" s="68" t="str">
        <f t="shared" si="23"/>
        <v/>
      </c>
      <c r="Z31" s="68" t="str">
        <f t="shared" si="23"/>
        <v/>
      </c>
      <c r="AA31" s="68" t="str">
        <f t="shared" si="23"/>
        <v/>
      </c>
      <c r="AB31" s="68" t="str">
        <f t="shared" si="23"/>
        <v/>
      </c>
      <c r="AC31" s="68" t="str">
        <f t="shared" si="23"/>
        <v/>
      </c>
      <c r="AD31" s="68" t="str">
        <f t="shared" si="23"/>
        <v/>
      </c>
      <c r="AE31" s="68" t="str">
        <f t="shared" si="23"/>
        <v/>
      </c>
      <c r="AF31" s="68" t="str">
        <f t="shared" si="23"/>
        <v/>
      </c>
      <c r="AG31" s="68" t="str">
        <f t="shared" si="23"/>
        <v/>
      </c>
      <c r="AH31" s="68" t="str">
        <f t="shared" si="23"/>
        <v/>
      </c>
      <c r="AI31" s="68" t="str">
        <f t="shared" si="23"/>
        <v/>
      </c>
      <c r="AJ31" s="68" t="str">
        <f t="shared" si="23"/>
        <v/>
      </c>
      <c r="AK31" s="68" t="str">
        <f t="shared" si="23"/>
        <v/>
      </c>
      <c r="AL31" s="68" t="str">
        <f t="shared" si="23"/>
        <v/>
      </c>
      <c r="AM31" s="68" t="str">
        <f t="shared" si="23"/>
        <v/>
      </c>
      <c r="AN31" s="68" t="str">
        <f t="shared" si="23"/>
        <v/>
      </c>
      <c r="AO31" s="68" t="str">
        <f t="shared" si="23"/>
        <v/>
      </c>
      <c r="AP31" s="68" t="str">
        <f t="shared" si="23"/>
        <v/>
      </c>
      <c r="AQ31" s="68" t="str">
        <f t="shared" si="23"/>
        <v/>
      </c>
      <c r="AR31" s="68" t="str">
        <f t="shared" si="23"/>
        <v/>
      </c>
      <c r="AS31" s="68" t="str">
        <f t="shared" si="23"/>
        <v/>
      </c>
      <c r="AT31" s="68" t="str">
        <f t="shared" si="23"/>
        <v/>
      </c>
      <c r="AU31" s="68" t="str">
        <f t="shared" si="23"/>
        <v/>
      </c>
      <c r="AV31" s="68" t="str">
        <f t="shared" si="23"/>
        <v/>
      </c>
      <c r="AW31" s="68" t="str">
        <f t="shared" si="23"/>
        <v/>
      </c>
      <c r="AX31" s="68" t="str">
        <f t="shared" si="23"/>
        <v/>
      </c>
      <c r="AY31" s="68" t="str">
        <f t="shared" si="23"/>
        <v/>
      </c>
      <c r="AZ31" s="68" t="str">
        <f t="shared" si="23"/>
        <v/>
      </c>
      <c r="BA31" s="68" t="str">
        <f t="shared" si="23"/>
        <v/>
      </c>
      <c r="BB31" s="68" t="str">
        <f t="shared" si="23"/>
        <v/>
      </c>
      <c r="BC31" s="68" t="str">
        <f t="shared" si="23"/>
        <v/>
      </c>
      <c r="BD31" s="68" t="str">
        <f t="shared" si="23"/>
        <v/>
      </c>
      <c r="BE31" s="68" t="str">
        <f t="shared" si="23"/>
        <v/>
      </c>
      <c r="BF31" s="68" t="str">
        <f t="shared" si="23"/>
        <v/>
      </c>
      <c r="BG31" s="68" t="str">
        <f t="shared" si="23"/>
        <v/>
      </c>
      <c r="BH31" s="68" t="str">
        <f t="shared" si="23"/>
        <v/>
      </c>
      <c r="BI31" s="68" t="str">
        <f t="shared" si="23"/>
        <v/>
      </c>
      <c r="BJ31" s="68" t="str">
        <f t="shared" si="23"/>
        <v/>
      </c>
      <c r="BK31" s="68" t="str">
        <f t="shared" si="23"/>
        <v/>
      </c>
      <c r="BL31" s="68" t="str">
        <f t="shared" si="23"/>
        <v/>
      </c>
      <c r="BM31" s="27"/>
      <c r="BN31" s="27"/>
      <c r="BO31" s="27"/>
      <c r="BP31" s="27"/>
    </row>
    <row r="32" ht="39.75" customHeight="1">
      <c r="A32" s="15"/>
      <c r="B32" s="70" t="s">
        <v>27</v>
      </c>
      <c r="C32" s="64" t="s">
        <v>26</v>
      </c>
      <c r="D32" s="64"/>
      <c r="E32" s="65"/>
      <c r="F32" s="66">
        <f>F31+42</f>
        <v>46197</v>
      </c>
      <c r="G32" s="67">
        <v>1.0</v>
      </c>
      <c r="H32" s="64"/>
      <c r="I32" s="68" t="str">
        <f t="shared" ref="I32:BL32" si="24">IF(AND($C32="Objetivo",I$7&gt;=$F32,I$7&lt;=$F32+$G32-1),2,IF(AND($C32="Marco",I$7&gt;=$F32,I$7&lt;=$F32+$G32-1),1,""))</f>
        <v/>
      </c>
      <c r="J32" s="68" t="str">
        <f t="shared" si="24"/>
        <v/>
      </c>
      <c r="K32" s="68" t="str">
        <f t="shared" si="24"/>
        <v/>
      </c>
      <c r="L32" s="68" t="str">
        <f t="shared" si="24"/>
        <v/>
      </c>
      <c r="M32" s="68" t="str">
        <f t="shared" si="24"/>
        <v/>
      </c>
      <c r="N32" s="68" t="str">
        <f t="shared" si="24"/>
        <v/>
      </c>
      <c r="O32" s="68" t="str">
        <f t="shared" si="24"/>
        <v/>
      </c>
      <c r="P32" s="68" t="str">
        <f t="shared" si="24"/>
        <v/>
      </c>
      <c r="Q32" s="68" t="str">
        <f t="shared" si="24"/>
        <v/>
      </c>
      <c r="R32" s="68" t="str">
        <f t="shared" si="24"/>
        <v/>
      </c>
      <c r="S32" s="68" t="str">
        <f t="shared" si="24"/>
        <v/>
      </c>
      <c r="T32" s="68" t="str">
        <f t="shared" si="24"/>
        <v/>
      </c>
      <c r="U32" s="68" t="str">
        <f t="shared" si="24"/>
        <v/>
      </c>
      <c r="V32" s="68" t="str">
        <f t="shared" si="24"/>
        <v/>
      </c>
      <c r="W32" s="68" t="str">
        <f t="shared" si="24"/>
        <v/>
      </c>
      <c r="X32" s="68" t="str">
        <f t="shared" si="24"/>
        <v/>
      </c>
      <c r="Y32" s="68" t="str">
        <f t="shared" si="24"/>
        <v/>
      </c>
      <c r="Z32" s="68" t="str">
        <f t="shared" si="24"/>
        <v/>
      </c>
      <c r="AA32" s="68" t="str">
        <f t="shared" si="24"/>
        <v/>
      </c>
      <c r="AB32" s="68" t="str">
        <f t="shared" si="24"/>
        <v/>
      </c>
      <c r="AC32" s="68" t="str">
        <f t="shared" si="24"/>
        <v/>
      </c>
      <c r="AD32" s="68" t="str">
        <f t="shared" si="24"/>
        <v/>
      </c>
      <c r="AE32" s="68" t="str">
        <f t="shared" si="24"/>
        <v/>
      </c>
      <c r="AF32" s="68" t="str">
        <f t="shared" si="24"/>
        <v/>
      </c>
      <c r="AG32" s="68" t="str">
        <f t="shared" si="24"/>
        <v/>
      </c>
      <c r="AH32" s="68" t="str">
        <f t="shared" si="24"/>
        <v/>
      </c>
      <c r="AI32" s="68" t="str">
        <f t="shared" si="24"/>
        <v/>
      </c>
      <c r="AJ32" s="68" t="str">
        <f t="shared" si="24"/>
        <v/>
      </c>
      <c r="AK32" s="68" t="str">
        <f t="shared" si="24"/>
        <v/>
      </c>
      <c r="AL32" s="68" t="str">
        <f t="shared" si="24"/>
        <v/>
      </c>
      <c r="AM32" s="68" t="str">
        <f t="shared" si="24"/>
        <v/>
      </c>
      <c r="AN32" s="68" t="str">
        <f t="shared" si="24"/>
        <v/>
      </c>
      <c r="AO32" s="68" t="str">
        <f t="shared" si="24"/>
        <v/>
      </c>
      <c r="AP32" s="68" t="str">
        <f t="shared" si="24"/>
        <v/>
      </c>
      <c r="AQ32" s="68" t="str">
        <f t="shared" si="24"/>
        <v/>
      </c>
      <c r="AR32" s="68" t="str">
        <f t="shared" si="24"/>
        <v/>
      </c>
      <c r="AS32" s="68" t="str">
        <f t="shared" si="24"/>
        <v/>
      </c>
      <c r="AT32" s="68" t="str">
        <f t="shared" si="24"/>
        <v/>
      </c>
      <c r="AU32" s="68" t="str">
        <f t="shared" si="24"/>
        <v/>
      </c>
      <c r="AV32" s="68" t="str">
        <f t="shared" si="24"/>
        <v/>
      </c>
      <c r="AW32" s="68" t="str">
        <f t="shared" si="24"/>
        <v/>
      </c>
      <c r="AX32" s="68" t="str">
        <f t="shared" si="24"/>
        <v/>
      </c>
      <c r="AY32" s="68" t="str">
        <f t="shared" si="24"/>
        <v/>
      </c>
      <c r="AZ32" s="68" t="str">
        <f t="shared" si="24"/>
        <v/>
      </c>
      <c r="BA32" s="68" t="str">
        <f t="shared" si="24"/>
        <v/>
      </c>
      <c r="BB32" s="68" t="str">
        <f t="shared" si="24"/>
        <v/>
      </c>
      <c r="BC32" s="68" t="str">
        <f t="shared" si="24"/>
        <v/>
      </c>
      <c r="BD32" s="68" t="str">
        <f t="shared" si="24"/>
        <v/>
      </c>
      <c r="BE32" s="68" t="str">
        <f t="shared" si="24"/>
        <v/>
      </c>
      <c r="BF32" s="68" t="str">
        <f t="shared" si="24"/>
        <v/>
      </c>
      <c r="BG32" s="68" t="str">
        <f t="shared" si="24"/>
        <v/>
      </c>
      <c r="BH32" s="68" t="str">
        <f t="shared" si="24"/>
        <v/>
      </c>
      <c r="BI32" s="68" t="str">
        <f t="shared" si="24"/>
        <v/>
      </c>
      <c r="BJ32" s="68" t="str">
        <f t="shared" si="24"/>
        <v/>
      </c>
      <c r="BK32" s="68" t="str">
        <f t="shared" si="24"/>
        <v/>
      </c>
      <c r="BL32" s="68" t="str">
        <f t="shared" si="24"/>
        <v/>
      </c>
      <c r="BM32" s="27"/>
      <c r="BN32" s="27"/>
      <c r="BO32" s="27"/>
      <c r="BP32" s="27"/>
    </row>
    <row r="33" ht="39.75" customHeight="1">
      <c r="A33" s="15"/>
      <c r="B33" s="70" t="s">
        <v>29</v>
      </c>
      <c r="C33" s="64"/>
      <c r="D33" s="64"/>
      <c r="E33" s="65"/>
      <c r="F33" s="66"/>
      <c r="G33" s="67"/>
      <c r="H33" s="64"/>
      <c r="I33" s="68" t="str">
        <f t="shared" ref="I33:BL33" si="25">IF(AND($C33="Objetivo",I$7&gt;=$F33,I$7&lt;=$F33+$G33-1),2,IF(AND($C33="Marco",I$7&gt;=$F33,I$7&lt;=$F33+$G33-1),1,""))</f>
        <v/>
      </c>
      <c r="J33" s="68" t="str">
        <f t="shared" si="25"/>
        <v/>
      </c>
      <c r="K33" s="68" t="str">
        <f t="shared" si="25"/>
        <v/>
      </c>
      <c r="L33" s="68" t="str">
        <f t="shared" si="25"/>
        <v/>
      </c>
      <c r="M33" s="68" t="str">
        <f t="shared" si="25"/>
        <v/>
      </c>
      <c r="N33" s="68" t="str">
        <f t="shared" si="25"/>
        <v/>
      </c>
      <c r="O33" s="68" t="str">
        <f t="shared" si="25"/>
        <v/>
      </c>
      <c r="P33" s="68" t="str">
        <f t="shared" si="25"/>
        <v/>
      </c>
      <c r="Q33" s="68" t="str">
        <f t="shared" si="25"/>
        <v/>
      </c>
      <c r="R33" s="68" t="str">
        <f t="shared" si="25"/>
        <v/>
      </c>
      <c r="S33" s="68" t="str">
        <f t="shared" si="25"/>
        <v/>
      </c>
      <c r="T33" s="68" t="str">
        <f t="shared" si="25"/>
        <v/>
      </c>
      <c r="U33" s="68" t="str">
        <f t="shared" si="25"/>
        <v/>
      </c>
      <c r="V33" s="68" t="str">
        <f t="shared" si="25"/>
        <v/>
      </c>
      <c r="W33" s="68" t="str">
        <f t="shared" si="25"/>
        <v/>
      </c>
      <c r="X33" s="68" t="str">
        <f t="shared" si="25"/>
        <v/>
      </c>
      <c r="Y33" s="68" t="str">
        <f t="shared" si="25"/>
        <v/>
      </c>
      <c r="Z33" s="68" t="str">
        <f t="shared" si="25"/>
        <v/>
      </c>
      <c r="AA33" s="68" t="str">
        <f t="shared" si="25"/>
        <v/>
      </c>
      <c r="AB33" s="68" t="str">
        <f t="shared" si="25"/>
        <v/>
      </c>
      <c r="AC33" s="68" t="str">
        <f t="shared" si="25"/>
        <v/>
      </c>
      <c r="AD33" s="68" t="str">
        <f t="shared" si="25"/>
        <v/>
      </c>
      <c r="AE33" s="68" t="str">
        <f t="shared" si="25"/>
        <v/>
      </c>
      <c r="AF33" s="68" t="str">
        <f t="shared" si="25"/>
        <v/>
      </c>
      <c r="AG33" s="68" t="str">
        <f t="shared" si="25"/>
        <v/>
      </c>
      <c r="AH33" s="68" t="str">
        <f t="shared" si="25"/>
        <v/>
      </c>
      <c r="AI33" s="68" t="str">
        <f t="shared" si="25"/>
        <v/>
      </c>
      <c r="AJ33" s="68" t="str">
        <f t="shared" si="25"/>
        <v/>
      </c>
      <c r="AK33" s="68" t="str">
        <f t="shared" si="25"/>
        <v/>
      </c>
      <c r="AL33" s="68" t="str">
        <f t="shared" si="25"/>
        <v/>
      </c>
      <c r="AM33" s="68" t="str">
        <f t="shared" si="25"/>
        <v/>
      </c>
      <c r="AN33" s="68" t="str">
        <f t="shared" si="25"/>
        <v/>
      </c>
      <c r="AO33" s="68" t="str">
        <f t="shared" si="25"/>
        <v/>
      </c>
      <c r="AP33" s="68" t="str">
        <f t="shared" si="25"/>
        <v/>
      </c>
      <c r="AQ33" s="68" t="str">
        <f t="shared" si="25"/>
        <v/>
      </c>
      <c r="AR33" s="68" t="str">
        <f t="shared" si="25"/>
        <v/>
      </c>
      <c r="AS33" s="68" t="str">
        <f t="shared" si="25"/>
        <v/>
      </c>
      <c r="AT33" s="68" t="str">
        <f t="shared" si="25"/>
        <v/>
      </c>
      <c r="AU33" s="68" t="str">
        <f t="shared" si="25"/>
        <v/>
      </c>
      <c r="AV33" s="68" t="str">
        <f t="shared" si="25"/>
        <v/>
      </c>
      <c r="AW33" s="68" t="str">
        <f t="shared" si="25"/>
        <v/>
      </c>
      <c r="AX33" s="68" t="str">
        <f t="shared" si="25"/>
        <v/>
      </c>
      <c r="AY33" s="68" t="str">
        <f t="shared" si="25"/>
        <v/>
      </c>
      <c r="AZ33" s="68" t="str">
        <f t="shared" si="25"/>
        <v/>
      </c>
      <c r="BA33" s="68" t="str">
        <f t="shared" si="25"/>
        <v/>
      </c>
      <c r="BB33" s="68" t="str">
        <f t="shared" si="25"/>
        <v/>
      </c>
      <c r="BC33" s="68" t="str">
        <f t="shared" si="25"/>
        <v/>
      </c>
      <c r="BD33" s="68" t="str">
        <f t="shared" si="25"/>
        <v/>
      </c>
      <c r="BE33" s="68" t="str">
        <f t="shared" si="25"/>
        <v/>
      </c>
      <c r="BF33" s="68" t="str">
        <f t="shared" si="25"/>
        <v/>
      </c>
      <c r="BG33" s="68" t="str">
        <f t="shared" si="25"/>
        <v/>
      </c>
      <c r="BH33" s="68" t="str">
        <f t="shared" si="25"/>
        <v/>
      </c>
      <c r="BI33" s="68" t="str">
        <f t="shared" si="25"/>
        <v/>
      </c>
      <c r="BJ33" s="68" t="str">
        <f t="shared" si="25"/>
        <v/>
      </c>
      <c r="BK33" s="68" t="str">
        <f t="shared" si="25"/>
        <v/>
      </c>
      <c r="BL33" s="68" t="str">
        <f t="shared" si="25"/>
        <v/>
      </c>
      <c r="BM33" s="27"/>
      <c r="BN33" s="27"/>
      <c r="BO33" s="27"/>
      <c r="BP33" s="27"/>
    </row>
    <row r="34" ht="39.75" customHeight="1">
      <c r="A34" s="15"/>
      <c r="B34" s="70" t="s">
        <v>30</v>
      </c>
      <c r="C34" s="64"/>
      <c r="D34" s="64"/>
      <c r="E34" s="65"/>
      <c r="F34" s="66"/>
      <c r="G34" s="67"/>
      <c r="H34" s="64"/>
      <c r="I34" s="68" t="str">
        <f t="shared" ref="I34:BL34" si="26">IF(AND($C34="Objetivo",I$7&gt;=$F34,I$7&lt;=$F34+$G34-1),2,IF(AND($C34="Marco",I$7&gt;=$F34,I$7&lt;=$F34+$G34-1),1,""))</f>
        <v/>
      </c>
      <c r="J34" s="68" t="str">
        <f t="shared" si="26"/>
        <v/>
      </c>
      <c r="K34" s="68" t="str">
        <f t="shared" si="26"/>
        <v/>
      </c>
      <c r="L34" s="68" t="str">
        <f t="shared" si="26"/>
        <v/>
      </c>
      <c r="M34" s="68" t="str">
        <f t="shared" si="26"/>
        <v/>
      </c>
      <c r="N34" s="68" t="str">
        <f t="shared" si="26"/>
        <v/>
      </c>
      <c r="O34" s="68" t="str">
        <f t="shared" si="26"/>
        <v/>
      </c>
      <c r="P34" s="68" t="str">
        <f t="shared" si="26"/>
        <v/>
      </c>
      <c r="Q34" s="68" t="str">
        <f t="shared" si="26"/>
        <v/>
      </c>
      <c r="R34" s="68" t="str">
        <f t="shared" si="26"/>
        <v/>
      </c>
      <c r="S34" s="68" t="str">
        <f t="shared" si="26"/>
        <v/>
      </c>
      <c r="T34" s="68" t="str">
        <f t="shared" si="26"/>
        <v/>
      </c>
      <c r="U34" s="68" t="str">
        <f t="shared" si="26"/>
        <v/>
      </c>
      <c r="V34" s="68" t="str">
        <f t="shared" si="26"/>
        <v/>
      </c>
      <c r="W34" s="68" t="str">
        <f t="shared" si="26"/>
        <v/>
      </c>
      <c r="X34" s="68" t="str">
        <f t="shared" si="26"/>
        <v/>
      </c>
      <c r="Y34" s="68" t="str">
        <f t="shared" si="26"/>
        <v/>
      </c>
      <c r="Z34" s="68" t="str">
        <f t="shared" si="26"/>
        <v/>
      </c>
      <c r="AA34" s="68" t="str">
        <f t="shared" si="26"/>
        <v/>
      </c>
      <c r="AB34" s="68" t="str">
        <f t="shared" si="26"/>
        <v/>
      </c>
      <c r="AC34" s="68" t="str">
        <f t="shared" si="26"/>
        <v/>
      </c>
      <c r="AD34" s="68" t="str">
        <f t="shared" si="26"/>
        <v/>
      </c>
      <c r="AE34" s="68" t="str">
        <f t="shared" si="26"/>
        <v/>
      </c>
      <c r="AF34" s="68" t="str">
        <f t="shared" si="26"/>
        <v/>
      </c>
      <c r="AG34" s="68" t="str">
        <f t="shared" si="26"/>
        <v/>
      </c>
      <c r="AH34" s="68" t="str">
        <f t="shared" si="26"/>
        <v/>
      </c>
      <c r="AI34" s="68" t="str">
        <f t="shared" si="26"/>
        <v/>
      </c>
      <c r="AJ34" s="68" t="str">
        <f t="shared" si="26"/>
        <v/>
      </c>
      <c r="AK34" s="68" t="str">
        <f t="shared" si="26"/>
        <v/>
      </c>
      <c r="AL34" s="68" t="str">
        <f t="shared" si="26"/>
        <v/>
      </c>
      <c r="AM34" s="68" t="str">
        <f t="shared" si="26"/>
        <v/>
      </c>
      <c r="AN34" s="68" t="str">
        <f t="shared" si="26"/>
        <v/>
      </c>
      <c r="AO34" s="68" t="str">
        <f t="shared" si="26"/>
        <v/>
      </c>
      <c r="AP34" s="68" t="str">
        <f t="shared" si="26"/>
        <v/>
      </c>
      <c r="AQ34" s="68" t="str">
        <f t="shared" si="26"/>
        <v/>
      </c>
      <c r="AR34" s="68" t="str">
        <f t="shared" si="26"/>
        <v/>
      </c>
      <c r="AS34" s="68" t="str">
        <f t="shared" si="26"/>
        <v/>
      </c>
      <c r="AT34" s="68" t="str">
        <f t="shared" si="26"/>
        <v/>
      </c>
      <c r="AU34" s="68" t="str">
        <f t="shared" si="26"/>
        <v/>
      </c>
      <c r="AV34" s="68" t="str">
        <f t="shared" si="26"/>
        <v/>
      </c>
      <c r="AW34" s="68" t="str">
        <f t="shared" si="26"/>
        <v/>
      </c>
      <c r="AX34" s="68" t="str">
        <f t="shared" si="26"/>
        <v/>
      </c>
      <c r="AY34" s="68" t="str">
        <f t="shared" si="26"/>
        <v/>
      </c>
      <c r="AZ34" s="68" t="str">
        <f t="shared" si="26"/>
        <v/>
      </c>
      <c r="BA34" s="68" t="str">
        <f t="shared" si="26"/>
        <v/>
      </c>
      <c r="BB34" s="68" t="str">
        <f t="shared" si="26"/>
        <v/>
      </c>
      <c r="BC34" s="68" t="str">
        <f t="shared" si="26"/>
        <v/>
      </c>
      <c r="BD34" s="68" t="str">
        <f t="shared" si="26"/>
        <v/>
      </c>
      <c r="BE34" s="68" t="str">
        <f t="shared" si="26"/>
        <v/>
      </c>
      <c r="BF34" s="68" t="str">
        <f t="shared" si="26"/>
        <v/>
      </c>
      <c r="BG34" s="68" t="str">
        <f t="shared" si="26"/>
        <v/>
      </c>
      <c r="BH34" s="68" t="str">
        <f t="shared" si="26"/>
        <v/>
      </c>
      <c r="BI34" s="68" t="str">
        <f t="shared" si="26"/>
        <v/>
      </c>
      <c r="BJ34" s="68" t="str">
        <f t="shared" si="26"/>
        <v/>
      </c>
      <c r="BK34" s="68" t="str">
        <f t="shared" si="26"/>
        <v/>
      </c>
      <c r="BL34" s="68" t="str">
        <f t="shared" si="26"/>
        <v/>
      </c>
      <c r="BM34" s="27"/>
      <c r="BN34" s="27"/>
      <c r="BO34" s="27"/>
      <c r="BP34" s="27"/>
    </row>
    <row r="35" ht="39.75" customHeight="1">
      <c r="A35" s="15"/>
      <c r="B35" s="70"/>
      <c r="C35" s="64"/>
      <c r="D35" s="64"/>
      <c r="E35" s="65"/>
      <c r="F35" s="66"/>
      <c r="G35" s="67"/>
      <c r="H35" s="64"/>
      <c r="I35" s="68" t="str">
        <f t="shared" ref="I35:BL35" si="27">IF(AND($C35="Objetivo",I$7&gt;=$F35,I$7&lt;=$F35+$G35-1),2,IF(AND($C35="Marco",I$7&gt;=$F35,I$7&lt;=$F35+$G35-1),1,""))</f>
        <v/>
      </c>
      <c r="J35" s="68" t="str">
        <f t="shared" si="27"/>
        <v/>
      </c>
      <c r="K35" s="68" t="str">
        <f t="shared" si="27"/>
        <v/>
      </c>
      <c r="L35" s="68" t="str">
        <f t="shared" si="27"/>
        <v/>
      </c>
      <c r="M35" s="68" t="str">
        <f t="shared" si="27"/>
        <v/>
      </c>
      <c r="N35" s="68" t="str">
        <f t="shared" si="27"/>
        <v/>
      </c>
      <c r="O35" s="68" t="str">
        <f t="shared" si="27"/>
        <v/>
      </c>
      <c r="P35" s="68" t="str">
        <f t="shared" si="27"/>
        <v/>
      </c>
      <c r="Q35" s="68" t="str">
        <f t="shared" si="27"/>
        <v/>
      </c>
      <c r="R35" s="68" t="str">
        <f t="shared" si="27"/>
        <v/>
      </c>
      <c r="S35" s="68" t="str">
        <f t="shared" si="27"/>
        <v/>
      </c>
      <c r="T35" s="68" t="str">
        <f t="shared" si="27"/>
        <v/>
      </c>
      <c r="U35" s="68" t="str">
        <f t="shared" si="27"/>
        <v/>
      </c>
      <c r="V35" s="68" t="str">
        <f t="shared" si="27"/>
        <v/>
      </c>
      <c r="W35" s="68" t="str">
        <f t="shared" si="27"/>
        <v/>
      </c>
      <c r="X35" s="68" t="str">
        <f t="shared" si="27"/>
        <v/>
      </c>
      <c r="Y35" s="68" t="str">
        <f t="shared" si="27"/>
        <v/>
      </c>
      <c r="Z35" s="68" t="str">
        <f t="shared" si="27"/>
        <v/>
      </c>
      <c r="AA35" s="68" t="str">
        <f t="shared" si="27"/>
        <v/>
      </c>
      <c r="AB35" s="68" t="str">
        <f t="shared" si="27"/>
        <v/>
      </c>
      <c r="AC35" s="68" t="str">
        <f t="shared" si="27"/>
        <v/>
      </c>
      <c r="AD35" s="68" t="str">
        <f t="shared" si="27"/>
        <v/>
      </c>
      <c r="AE35" s="68" t="str">
        <f t="shared" si="27"/>
        <v/>
      </c>
      <c r="AF35" s="68" t="str">
        <f t="shared" si="27"/>
        <v/>
      </c>
      <c r="AG35" s="68" t="str">
        <f t="shared" si="27"/>
        <v/>
      </c>
      <c r="AH35" s="68" t="str">
        <f t="shared" si="27"/>
        <v/>
      </c>
      <c r="AI35" s="68" t="str">
        <f t="shared" si="27"/>
        <v/>
      </c>
      <c r="AJ35" s="68" t="str">
        <f t="shared" si="27"/>
        <v/>
      </c>
      <c r="AK35" s="68" t="str">
        <f t="shared" si="27"/>
        <v/>
      </c>
      <c r="AL35" s="68" t="str">
        <f t="shared" si="27"/>
        <v/>
      </c>
      <c r="AM35" s="68" t="str">
        <f t="shared" si="27"/>
        <v/>
      </c>
      <c r="AN35" s="68" t="str">
        <f t="shared" si="27"/>
        <v/>
      </c>
      <c r="AO35" s="68" t="str">
        <f t="shared" si="27"/>
        <v/>
      </c>
      <c r="AP35" s="68" t="str">
        <f t="shared" si="27"/>
        <v/>
      </c>
      <c r="AQ35" s="68" t="str">
        <f t="shared" si="27"/>
        <v/>
      </c>
      <c r="AR35" s="68" t="str">
        <f t="shared" si="27"/>
        <v/>
      </c>
      <c r="AS35" s="68" t="str">
        <f t="shared" si="27"/>
        <v/>
      </c>
      <c r="AT35" s="68" t="str">
        <f t="shared" si="27"/>
        <v/>
      </c>
      <c r="AU35" s="68" t="str">
        <f t="shared" si="27"/>
        <v/>
      </c>
      <c r="AV35" s="68" t="str">
        <f t="shared" si="27"/>
        <v/>
      </c>
      <c r="AW35" s="68" t="str">
        <f t="shared" si="27"/>
        <v/>
      </c>
      <c r="AX35" s="68" t="str">
        <f t="shared" si="27"/>
        <v/>
      </c>
      <c r="AY35" s="68" t="str">
        <f t="shared" si="27"/>
        <v/>
      </c>
      <c r="AZ35" s="68" t="str">
        <f t="shared" si="27"/>
        <v/>
      </c>
      <c r="BA35" s="68" t="str">
        <f t="shared" si="27"/>
        <v/>
      </c>
      <c r="BB35" s="68" t="str">
        <f t="shared" si="27"/>
        <v/>
      </c>
      <c r="BC35" s="68" t="str">
        <f t="shared" si="27"/>
        <v/>
      </c>
      <c r="BD35" s="68" t="str">
        <f t="shared" si="27"/>
        <v/>
      </c>
      <c r="BE35" s="68" t="str">
        <f t="shared" si="27"/>
        <v/>
      </c>
      <c r="BF35" s="68" t="str">
        <f t="shared" si="27"/>
        <v/>
      </c>
      <c r="BG35" s="68" t="str">
        <f t="shared" si="27"/>
        <v/>
      </c>
      <c r="BH35" s="68" t="str">
        <f t="shared" si="27"/>
        <v/>
      </c>
      <c r="BI35" s="68" t="str">
        <f t="shared" si="27"/>
        <v/>
      </c>
      <c r="BJ35" s="68" t="str">
        <f t="shared" si="27"/>
        <v/>
      </c>
      <c r="BK35" s="68" t="str">
        <f t="shared" si="27"/>
        <v/>
      </c>
      <c r="BL35" s="68" t="str">
        <f t="shared" si="27"/>
        <v/>
      </c>
      <c r="BM35" s="71"/>
      <c r="BN35" s="27"/>
      <c r="BO35" s="27"/>
      <c r="BP35" s="27"/>
    </row>
    <row r="36" ht="39.75" customHeight="1">
      <c r="A36" s="17"/>
      <c r="B36" s="70" t="s">
        <v>37</v>
      </c>
      <c r="C36" s="64"/>
      <c r="D36" s="64"/>
      <c r="E36" s="31"/>
      <c r="F36" s="66"/>
      <c r="G36" s="67"/>
      <c r="H36" s="64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27"/>
      <c r="BN36" s="27"/>
      <c r="BO36" s="27"/>
      <c r="BP36" s="27"/>
    </row>
    <row r="37" ht="30.0" customHeight="1">
      <c r="A37" s="15"/>
      <c r="F37" s="16"/>
    </row>
    <row r="38" ht="30.0" customHeight="1">
      <c r="A38" s="15"/>
      <c r="F38" s="16"/>
    </row>
    <row r="39" ht="30.0" customHeight="1">
      <c r="A39" s="15"/>
      <c r="F39" s="16"/>
    </row>
    <row r="40" ht="30.0" customHeight="1">
      <c r="A40" s="15"/>
      <c r="F40" s="16"/>
    </row>
    <row r="41" ht="30.0" customHeight="1">
      <c r="A41" s="15"/>
      <c r="F41" s="16"/>
    </row>
    <row r="42" ht="30.0" customHeight="1">
      <c r="A42" s="15"/>
      <c r="F42" s="16"/>
    </row>
    <row r="43" ht="30.0" customHeight="1">
      <c r="A43" s="15"/>
      <c r="F43" s="16"/>
    </row>
    <row r="44" ht="30.0" customHeight="1">
      <c r="A44" s="15"/>
      <c r="F44" s="16"/>
    </row>
    <row r="45" ht="30.0" customHeight="1">
      <c r="A45" s="15"/>
      <c r="F45" s="16"/>
    </row>
    <row r="46" ht="30.0" customHeight="1">
      <c r="A46" s="15"/>
      <c r="F46" s="16"/>
    </row>
    <row r="47" ht="30.0" customHeight="1">
      <c r="A47" s="15"/>
      <c r="F47" s="16"/>
    </row>
    <row r="48" ht="30.0" customHeight="1">
      <c r="A48" s="15"/>
      <c r="F48" s="16"/>
    </row>
    <row r="49" ht="30.0" customHeight="1">
      <c r="A49" s="15"/>
      <c r="F49" s="16"/>
    </row>
    <row r="50" ht="30.0" customHeight="1">
      <c r="A50" s="15"/>
      <c r="F50" s="16"/>
    </row>
    <row r="51" ht="30.0" customHeight="1">
      <c r="A51" s="15"/>
      <c r="F51" s="16"/>
    </row>
    <row r="52" ht="30.0" customHeight="1">
      <c r="A52" s="15"/>
      <c r="F52" s="16"/>
    </row>
    <row r="53" ht="30.0" customHeight="1">
      <c r="A53" s="15"/>
      <c r="F53" s="16"/>
    </row>
    <row r="54" ht="30.0" customHeight="1">
      <c r="A54" s="15"/>
      <c r="F54" s="16"/>
    </row>
    <row r="55" ht="30.0" customHeight="1">
      <c r="A55" s="15"/>
      <c r="F55" s="16"/>
    </row>
    <row r="56" ht="30.0" customHeight="1">
      <c r="A56" s="15"/>
      <c r="F56" s="16"/>
    </row>
    <row r="57" ht="30.0" customHeight="1">
      <c r="A57" s="15"/>
      <c r="F57" s="16"/>
    </row>
    <row r="58" ht="30.0" customHeight="1">
      <c r="A58" s="15"/>
      <c r="F58" s="16"/>
    </row>
    <row r="59" ht="30.0" customHeight="1">
      <c r="A59" s="15"/>
      <c r="F59" s="16"/>
    </row>
    <row r="60" ht="30.0" customHeight="1">
      <c r="A60" s="15"/>
      <c r="F60" s="16"/>
    </row>
    <row r="61" ht="30.0" customHeight="1">
      <c r="A61" s="15"/>
      <c r="F61" s="16"/>
    </row>
    <row r="62" ht="30.0" customHeight="1">
      <c r="A62" s="15"/>
      <c r="F62" s="16"/>
    </row>
    <row r="63" ht="30.0" customHeight="1">
      <c r="A63" s="15"/>
      <c r="F63" s="16"/>
    </row>
    <row r="64" ht="30.0" customHeight="1">
      <c r="A64" s="15"/>
      <c r="F64" s="16"/>
    </row>
    <row r="65" ht="30.0" customHeight="1">
      <c r="A65" s="15"/>
      <c r="F65" s="16"/>
    </row>
    <row r="66" ht="30.0" customHeight="1">
      <c r="A66" s="15"/>
      <c r="F66" s="16"/>
    </row>
    <row r="67" ht="30.0" customHeight="1">
      <c r="A67" s="15"/>
      <c r="F67" s="16"/>
    </row>
    <row r="68" ht="30.0" customHeight="1">
      <c r="A68" s="15"/>
      <c r="F68" s="16"/>
    </row>
    <row r="69" ht="30.0" customHeight="1">
      <c r="A69" s="15"/>
      <c r="F69" s="16"/>
    </row>
    <row r="70" ht="30.0" customHeight="1">
      <c r="A70" s="15"/>
      <c r="F70" s="16"/>
    </row>
    <row r="71" ht="30.0" customHeight="1">
      <c r="A71" s="15"/>
      <c r="F71" s="16"/>
    </row>
    <row r="72" ht="30.0" customHeight="1">
      <c r="A72" s="15"/>
      <c r="F72" s="16"/>
    </row>
    <row r="73" ht="30.0" customHeight="1">
      <c r="A73" s="15"/>
      <c r="F73" s="16"/>
    </row>
    <row r="74" ht="30.0" customHeight="1">
      <c r="A74" s="15"/>
      <c r="F74" s="16"/>
    </row>
    <row r="75" ht="30.0" customHeight="1">
      <c r="A75" s="15"/>
      <c r="F75" s="16"/>
    </row>
    <row r="76" ht="30.0" customHeight="1">
      <c r="A76" s="15"/>
      <c r="F76" s="16"/>
    </row>
    <row r="77" ht="30.0" customHeight="1">
      <c r="A77" s="15"/>
      <c r="F77" s="16"/>
    </row>
    <row r="78" ht="30.0" customHeight="1">
      <c r="A78" s="15"/>
      <c r="F78" s="16"/>
    </row>
    <row r="79" ht="30.0" customHeight="1">
      <c r="A79" s="15"/>
      <c r="F79" s="16"/>
    </row>
    <row r="80" ht="30.0" customHeight="1">
      <c r="A80" s="15"/>
      <c r="F80" s="16"/>
    </row>
    <row r="81" ht="30.0" customHeight="1">
      <c r="A81" s="15"/>
      <c r="F81" s="16"/>
    </row>
    <row r="82" ht="30.0" customHeight="1">
      <c r="A82" s="15"/>
      <c r="F82" s="16"/>
    </row>
    <row r="83" ht="30.0" customHeight="1">
      <c r="A83" s="15"/>
      <c r="F83" s="16"/>
    </row>
    <row r="84" ht="30.0" customHeight="1">
      <c r="A84" s="15"/>
      <c r="F84" s="16"/>
    </row>
    <row r="85" ht="30.0" customHeight="1">
      <c r="A85" s="15"/>
      <c r="F85" s="16"/>
    </row>
    <row r="86" ht="30.0" customHeight="1">
      <c r="A86" s="15"/>
      <c r="F86" s="16"/>
    </row>
    <row r="87" ht="30.0" customHeight="1">
      <c r="A87" s="15"/>
      <c r="F87" s="16"/>
    </row>
    <row r="88" ht="30.0" customHeight="1">
      <c r="A88" s="15"/>
      <c r="F88" s="16"/>
    </row>
    <row r="89" ht="30.0" customHeight="1">
      <c r="A89" s="15"/>
      <c r="F89" s="16"/>
    </row>
    <row r="90" ht="30.0" customHeight="1">
      <c r="A90" s="15"/>
      <c r="F90" s="16"/>
    </row>
    <row r="91" ht="30.0" customHeight="1">
      <c r="A91" s="15"/>
      <c r="F91" s="16"/>
    </row>
    <row r="92" ht="30.0" customHeight="1">
      <c r="A92" s="15"/>
      <c r="F92" s="16"/>
    </row>
    <row r="93" ht="30.0" customHeight="1">
      <c r="A93" s="15"/>
      <c r="F93" s="16"/>
    </row>
    <row r="94" ht="30.0" customHeight="1">
      <c r="A94" s="15"/>
      <c r="F94" s="16"/>
    </row>
    <row r="95" ht="30.0" customHeight="1">
      <c r="A95" s="15"/>
      <c r="F95" s="16"/>
    </row>
    <row r="96" ht="30.0" customHeight="1">
      <c r="A96" s="15"/>
      <c r="F96" s="16"/>
    </row>
    <row r="97" ht="30.0" customHeight="1">
      <c r="A97" s="15"/>
      <c r="F97" s="16"/>
    </row>
    <row r="98" ht="30.0" customHeight="1">
      <c r="A98" s="15"/>
      <c r="F98" s="16"/>
    </row>
    <row r="99" ht="30.0" customHeight="1">
      <c r="A99" s="15"/>
      <c r="F99" s="16"/>
    </row>
    <row r="100" ht="30.0" customHeight="1">
      <c r="A100" s="15"/>
      <c r="F100" s="16"/>
    </row>
    <row r="101" ht="30.0" customHeight="1">
      <c r="A101" s="15"/>
      <c r="F101" s="16"/>
    </row>
    <row r="102" ht="30.0" customHeight="1">
      <c r="A102" s="15"/>
      <c r="F102" s="16"/>
    </row>
    <row r="103" ht="30.0" customHeight="1">
      <c r="A103" s="15"/>
      <c r="F103" s="16"/>
    </row>
    <row r="104" ht="30.0" customHeight="1">
      <c r="A104" s="15"/>
      <c r="F104" s="16"/>
    </row>
    <row r="105" ht="30.0" customHeight="1">
      <c r="A105" s="15"/>
      <c r="F105" s="16"/>
    </row>
    <row r="106" ht="30.0" customHeight="1">
      <c r="A106" s="15"/>
      <c r="F106" s="16"/>
    </row>
    <row r="107" ht="30.0" customHeight="1">
      <c r="A107" s="15"/>
      <c r="F107" s="16"/>
    </row>
    <row r="108" ht="30.0" customHeight="1">
      <c r="A108" s="15"/>
      <c r="F108" s="16"/>
    </row>
    <row r="109" ht="30.0" customHeight="1">
      <c r="A109" s="15"/>
      <c r="F109" s="16"/>
    </row>
    <row r="110" ht="30.0" customHeight="1">
      <c r="A110" s="15"/>
      <c r="F110" s="16"/>
    </row>
    <row r="111" ht="30.0" customHeight="1">
      <c r="A111" s="15"/>
      <c r="F111" s="16"/>
    </row>
    <row r="112" ht="30.0" customHeight="1">
      <c r="A112" s="15"/>
      <c r="F112" s="16"/>
    </row>
    <row r="113" ht="30.0" customHeight="1">
      <c r="A113" s="15"/>
      <c r="F113" s="16"/>
    </row>
    <row r="114" ht="30.0" customHeight="1">
      <c r="A114" s="15"/>
      <c r="F114" s="16"/>
    </row>
    <row r="115" ht="30.0" customHeight="1">
      <c r="A115" s="15"/>
      <c r="F115" s="16"/>
    </row>
    <row r="116" ht="30.0" customHeight="1">
      <c r="A116" s="15"/>
      <c r="F116" s="16"/>
    </row>
    <row r="117" ht="30.0" customHeight="1">
      <c r="A117" s="15"/>
      <c r="F117" s="16"/>
    </row>
    <row r="118" ht="30.0" customHeight="1">
      <c r="A118" s="15"/>
      <c r="F118" s="16"/>
    </row>
    <row r="119" ht="30.0" customHeight="1">
      <c r="A119" s="15"/>
      <c r="F119" s="16"/>
    </row>
    <row r="120" ht="30.0" customHeight="1">
      <c r="A120" s="15"/>
      <c r="F120" s="16"/>
    </row>
    <row r="121" ht="30.0" customHeight="1">
      <c r="A121" s="15"/>
      <c r="F121" s="16"/>
    </row>
    <row r="122" ht="30.0" customHeight="1">
      <c r="A122" s="15"/>
      <c r="F122" s="16"/>
    </row>
    <row r="123" ht="30.0" customHeight="1">
      <c r="A123" s="15"/>
      <c r="F123" s="16"/>
    </row>
    <row r="124" ht="30.0" customHeight="1">
      <c r="A124" s="15"/>
      <c r="F124" s="16"/>
    </row>
    <row r="125" ht="30.0" customHeight="1">
      <c r="A125" s="15"/>
      <c r="F125" s="16"/>
    </row>
    <row r="126" ht="30.0" customHeight="1">
      <c r="A126" s="15"/>
      <c r="F126" s="16"/>
    </row>
    <row r="127" ht="30.0" customHeight="1">
      <c r="A127" s="15"/>
      <c r="F127" s="16"/>
    </row>
    <row r="128" ht="30.0" customHeight="1">
      <c r="A128" s="15"/>
      <c r="F128" s="16"/>
    </row>
    <row r="129" ht="30.0" customHeight="1">
      <c r="A129" s="15"/>
      <c r="F129" s="16"/>
    </row>
    <row r="130" ht="30.0" customHeight="1">
      <c r="A130" s="15"/>
      <c r="F130" s="16"/>
    </row>
    <row r="131" ht="30.0" customHeight="1">
      <c r="A131" s="15"/>
      <c r="F131" s="16"/>
    </row>
    <row r="132" ht="30.0" customHeight="1">
      <c r="A132" s="15"/>
      <c r="F132" s="16"/>
    </row>
    <row r="133" ht="30.0" customHeight="1">
      <c r="A133" s="15"/>
      <c r="F133" s="16"/>
    </row>
    <row r="134" ht="30.0" customHeight="1">
      <c r="A134" s="15"/>
      <c r="F134" s="16"/>
    </row>
    <row r="135" ht="30.0" customHeight="1">
      <c r="A135" s="15"/>
      <c r="F135" s="16"/>
    </row>
    <row r="136" ht="30.0" customHeight="1">
      <c r="A136" s="15"/>
      <c r="F136" s="16"/>
    </row>
    <row r="137" ht="30.0" customHeight="1">
      <c r="A137" s="15"/>
      <c r="F137" s="16"/>
    </row>
    <row r="138" ht="30.0" customHeight="1">
      <c r="A138" s="15"/>
      <c r="F138" s="16"/>
    </row>
    <row r="139" ht="30.0" customHeight="1">
      <c r="A139" s="15"/>
      <c r="F139" s="16"/>
    </row>
    <row r="140" ht="30.0" customHeight="1">
      <c r="A140" s="15"/>
      <c r="F140" s="16"/>
    </row>
    <row r="141" ht="30.0" customHeight="1">
      <c r="A141" s="15"/>
      <c r="F141" s="16"/>
    </row>
    <row r="142" ht="30.0" customHeight="1">
      <c r="A142" s="15"/>
      <c r="F142" s="16"/>
    </row>
    <row r="143" ht="30.0" customHeight="1">
      <c r="A143" s="15"/>
      <c r="F143" s="16"/>
    </row>
    <row r="144" ht="30.0" customHeight="1">
      <c r="A144" s="15"/>
      <c r="F144" s="16"/>
    </row>
    <row r="145" ht="30.0" customHeight="1">
      <c r="A145" s="15"/>
      <c r="F145" s="16"/>
    </row>
    <row r="146" ht="30.0" customHeight="1">
      <c r="A146" s="15"/>
      <c r="F146" s="16"/>
    </row>
    <row r="147" ht="30.0" customHeight="1">
      <c r="A147" s="15"/>
      <c r="F147" s="16"/>
    </row>
    <row r="148" ht="30.0" customHeight="1">
      <c r="A148" s="15"/>
      <c r="F148" s="16"/>
    </row>
    <row r="149" ht="30.0" customHeight="1">
      <c r="A149" s="15"/>
      <c r="F149" s="16"/>
    </row>
    <row r="150" ht="30.0" customHeight="1">
      <c r="A150" s="15"/>
      <c r="F150" s="16"/>
    </row>
    <row r="151" ht="30.0" customHeight="1">
      <c r="A151" s="15"/>
      <c r="F151" s="16"/>
    </row>
    <row r="152" ht="30.0" customHeight="1">
      <c r="A152" s="15"/>
      <c r="F152" s="16"/>
    </row>
    <row r="153" ht="30.0" customHeight="1">
      <c r="A153" s="15"/>
      <c r="F153" s="16"/>
    </row>
    <row r="154" ht="30.0" customHeight="1">
      <c r="A154" s="15"/>
      <c r="F154" s="16"/>
    </row>
    <row r="155" ht="30.0" customHeight="1">
      <c r="A155" s="15"/>
      <c r="F155" s="16"/>
    </row>
    <row r="156" ht="30.0" customHeight="1">
      <c r="A156" s="15"/>
      <c r="F156" s="16"/>
    </row>
    <row r="157" ht="30.0" customHeight="1">
      <c r="A157" s="15"/>
      <c r="F157" s="16"/>
    </row>
    <row r="158" ht="30.0" customHeight="1">
      <c r="A158" s="15"/>
      <c r="F158" s="16"/>
    </row>
    <row r="159" ht="30.0" customHeight="1">
      <c r="A159" s="15"/>
      <c r="F159" s="16"/>
    </row>
    <row r="160" ht="30.0" customHeight="1">
      <c r="A160" s="15"/>
      <c r="F160" s="16"/>
    </row>
    <row r="161" ht="30.0" customHeight="1">
      <c r="A161" s="15"/>
      <c r="F161" s="16"/>
    </row>
    <row r="162" ht="30.0" customHeight="1">
      <c r="A162" s="15"/>
      <c r="F162" s="16"/>
    </row>
    <row r="163" ht="30.0" customHeight="1">
      <c r="A163" s="15"/>
      <c r="F163" s="16"/>
    </row>
    <row r="164" ht="30.0" customHeight="1">
      <c r="A164" s="15"/>
      <c r="F164" s="16"/>
    </row>
    <row r="165" ht="30.0" customHeight="1">
      <c r="A165" s="15"/>
      <c r="F165" s="16"/>
    </row>
    <row r="166" ht="30.0" customHeight="1">
      <c r="A166" s="15"/>
      <c r="F166" s="16"/>
    </row>
    <row r="167" ht="30.0" customHeight="1">
      <c r="A167" s="15"/>
      <c r="F167" s="16"/>
    </row>
    <row r="168" ht="30.0" customHeight="1">
      <c r="A168" s="15"/>
      <c r="F168" s="16"/>
    </row>
    <row r="169" ht="30.0" customHeight="1">
      <c r="A169" s="15"/>
      <c r="F169" s="16"/>
    </row>
    <row r="170" ht="30.0" customHeight="1">
      <c r="A170" s="15"/>
      <c r="F170" s="16"/>
    </row>
    <row r="171" ht="30.0" customHeight="1">
      <c r="A171" s="15"/>
      <c r="F171" s="16"/>
    </row>
    <row r="172" ht="30.0" customHeight="1">
      <c r="A172" s="15"/>
      <c r="F172" s="16"/>
    </row>
    <row r="173" ht="30.0" customHeight="1">
      <c r="A173" s="15"/>
      <c r="F173" s="16"/>
    </row>
    <row r="174" ht="30.0" customHeight="1">
      <c r="A174" s="15"/>
      <c r="F174" s="16"/>
    </row>
    <row r="175" ht="30.0" customHeight="1">
      <c r="A175" s="15"/>
      <c r="F175" s="16"/>
    </row>
    <row r="176" ht="30.0" customHeight="1">
      <c r="A176" s="15"/>
      <c r="F176" s="16"/>
    </row>
    <row r="177" ht="30.0" customHeight="1">
      <c r="A177" s="15"/>
      <c r="F177" s="16"/>
    </row>
    <row r="178" ht="30.0" customHeight="1">
      <c r="A178" s="15"/>
      <c r="F178" s="16"/>
    </row>
    <row r="179" ht="30.0" customHeight="1">
      <c r="A179" s="15"/>
      <c r="F179" s="16"/>
    </row>
    <row r="180" ht="30.0" customHeight="1">
      <c r="A180" s="15"/>
      <c r="F180" s="16"/>
    </row>
    <row r="181" ht="30.0" customHeight="1">
      <c r="A181" s="15"/>
      <c r="F181" s="16"/>
    </row>
    <row r="182" ht="30.0" customHeight="1">
      <c r="A182" s="15"/>
      <c r="F182" s="16"/>
    </row>
    <row r="183" ht="30.0" customHeight="1">
      <c r="A183" s="15"/>
      <c r="F183" s="16"/>
    </row>
    <row r="184" ht="30.0" customHeight="1">
      <c r="A184" s="15"/>
      <c r="F184" s="16"/>
    </row>
    <row r="185" ht="30.0" customHeight="1">
      <c r="A185" s="15"/>
      <c r="F185" s="16"/>
    </row>
    <row r="186" ht="30.0" customHeight="1">
      <c r="A186" s="15"/>
      <c r="F186" s="16"/>
    </row>
    <row r="187" ht="30.0" customHeight="1">
      <c r="A187" s="15"/>
      <c r="F187" s="16"/>
    </row>
    <row r="188" ht="30.0" customHeight="1">
      <c r="A188" s="15"/>
      <c r="F188" s="16"/>
    </row>
    <row r="189" ht="30.0" customHeight="1">
      <c r="A189" s="15"/>
      <c r="F189" s="16"/>
    </row>
    <row r="190" ht="30.0" customHeight="1">
      <c r="A190" s="15"/>
      <c r="F190" s="16"/>
    </row>
    <row r="191" ht="30.0" customHeight="1">
      <c r="A191" s="15"/>
      <c r="F191" s="16"/>
    </row>
    <row r="192" ht="30.0" customHeight="1">
      <c r="A192" s="15"/>
      <c r="F192" s="16"/>
    </row>
    <row r="193" ht="30.0" customHeight="1">
      <c r="A193" s="15"/>
      <c r="F193" s="16"/>
    </row>
    <row r="194" ht="30.0" customHeight="1">
      <c r="A194" s="15"/>
      <c r="F194" s="16"/>
    </row>
    <row r="195" ht="30.0" customHeight="1">
      <c r="A195" s="15"/>
      <c r="F195" s="16"/>
    </row>
    <row r="196" ht="30.0" customHeight="1">
      <c r="A196" s="15"/>
      <c r="F196" s="16"/>
    </row>
    <row r="197" ht="30.0" customHeight="1">
      <c r="A197" s="15"/>
      <c r="F197" s="16"/>
    </row>
    <row r="198" ht="30.0" customHeight="1">
      <c r="A198" s="15"/>
      <c r="F198" s="16"/>
    </row>
    <row r="199" ht="30.0" customHeight="1">
      <c r="A199" s="15"/>
      <c r="F199" s="16"/>
    </row>
    <row r="200" ht="30.0" customHeight="1">
      <c r="A200" s="15"/>
      <c r="F200" s="16"/>
    </row>
    <row r="201" ht="30.0" customHeight="1">
      <c r="A201" s="15"/>
      <c r="F201" s="16"/>
    </row>
    <row r="202" ht="30.0" customHeight="1">
      <c r="A202" s="15"/>
      <c r="F202" s="16"/>
    </row>
    <row r="203" ht="30.0" customHeight="1">
      <c r="A203" s="15"/>
      <c r="F203" s="16"/>
    </row>
    <row r="204" ht="30.0" customHeight="1">
      <c r="A204" s="15"/>
      <c r="F204" s="16"/>
    </row>
    <row r="205" ht="30.0" customHeight="1">
      <c r="A205" s="15"/>
      <c r="F205" s="16"/>
    </row>
    <row r="206" ht="30.0" customHeight="1">
      <c r="A206" s="15"/>
      <c r="F206" s="16"/>
    </row>
    <row r="207" ht="30.0" customHeight="1">
      <c r="A207" s="15"/>
      <c r="F207" s="16"/>
    </row>
    <row r="208" ht="30.0" customHeight="1">
      <c r="A208" s="15"/>
      <c r="F208" s="16"/>
    </row>
    <row r="209" ht="30.0" customHeight="1">
      <c r="A209" s="15"/>
      <c r="F209" s="16"/>
    </row>
    <row r="210" ht="30.0" customHeight="1">
      <c r="A210" s="15"/>
      <c r="F210" s="16"/>
    </row>
    <row r="211" ht="30.0" customHeight="1">
      <c r="A211" s="15"/>
      <c r="F211" s="16"/>
    </row>
    <row r="212" ht="30.0" customHeight="1">
      <c r="A212" s="15"/>
      <c r="F212" s="16"/>
    </row>
    <row r="213" ht="30.0" customHeight="1">
      <c r="A213" s="15"/>
      <c r="F213" s="16"/>
    </row>
    <row r="214" ht="30.0" customHeight="1">
      <c r="A214" s="15"/>
      <c r="F214" s="16"/>
    </row>
    <row r="215" ht="30.0" customHeight="1">
      <c r="A215" s="15"/>
      <c r="F215" s="16"/>
    </row>
    <row r="216" ht="30.0" customHeight="1">
      <c r="A216" s="15"/>
      <c r="F216" s="16"/>
    </row>
    <row r="217" ht="30.0" customHeight="1">
      <c r="A217" s="15"/>
      <c r="F217" s="16"/>
    </row>
    <row r="218" ht="30.0" customHeight="1">
      <c r="A218" s="15"/>
      <c r="F218" s="16"/>
    </row>
    <row r="219" ht="30.0" customHeight="1">
      <c r="A219" s="15"/>
      <c r="F219" s="16"/>
    </row>
    <row r="220" ht="30.0" customHeight="1">
      <c r="A220" s="15"/>
      <c r="F220" s="16"/>
    </row>
    <row r="221" ht="30.0" customHeight="1">
      <c r="A221" s="15"/>
      <c r="F221" s="16"/>
    </row>
    <row r="222" ht="30.0" customHeight="1">
      <c r="A222" s="15"/>
      <c r="F222" s="16"/>
    </row>
    <row r="223" ht="30.0" customHeight="1">
      <c r="A223" s="15"/>
      <c r="F223" s="16"/>
    </row>
    <row r="224" ht="30.0" customHeight="1">
      <c r="A224" s="15"/>
      <c r="F224" s="16"/>
    </row>
    <row r="225" ht="30.0" customHeight="1">
      <c r="A225" s="15"/>
      <c r="F225" s="16"/>
    </row>
    <row r="226" ht="30.0" customHeight="1">
      <c r="A226" s="15"/>
      <c r="F226" s="16"/>
    </row>
    <row r="227" ht="30.0" customHeight="1">
      <c r="A227" s="15"/>
      <c r="F227" s="16"/>
    </row>
    <row r="228" ht="30.0" customHeight="1">
      <c r="A228" s="15"/>
      <c r="F228" s="16"/>
    </row>
    <row r="229" ht="30.0" customHeight="1">
      <c r="A229" s="15"/>
      <c r="F229" s="16"/>
    </row>
    <row r="230" ht="30.0" customHeight="1">
      <c r="A230" s="15"/>
      <c r="F230" s="16"/>
    </row>
    <row r="231" ht="30.0" customHeight="1">
      <c r="A231" s="15"/>
      <c r="F231" s="16"/>
    </row>
    <row r="232" ht="30.0" customHeight="1">
      <c r="A232" s="15"/>
      <c r="F232" s="16"/>
    </row>
    <row r="233" ht="30.0" customHeight="1">
      <c r="A233" s="15"/>
      <c r="F233" s="16"/>
    </row>
    <row r="234" ht="30.0" customHeight="1">
      <c r="A234" s="15"/>
      <c r="F234" s="16"/>
    </row>
    <row r="235" ht="30.0" customHeight="1">
      <c r="A235" s="15"/>
      <c r="F235" s="16"/>
    </row>
    <row r="236" ht="30.0" customHeight="1">
      <c r="A236" s="15"/>
      <c r="F236" s="16"/>
    </row>
    <row r="237" ht="30.0" customHeight="1">
      <c r="A237" s="15"/>
      <c r="F237" s="16"/>
    </row>
    <row r="238" ht="30.0" customHeight="1">
      <c r="A238" s="15"/>
      <c r="F238" s="16"/>
    </row>
    <row r="239" ht="30.0" customHeight="1">
      <c r="A239" s="15"/>
      <c r="F239" s="16"/>
    </row>
    <row r="240" ht="30.0" customHeight="1">
      <c r="A240" s="15"/>
      <c r="F240" s="16"/>
    </row>
    <row r="241" ht="30.0" customHeight="1">
      <c r="A241" s="15"/>
      <c r="F241" s="16"/>
    </row>
    <row r="242" ht="30.0" customHeight="1">
      <c r="A242" s="15"/>
      <c r="F242" s="16"/>
    </row>
    <row r="243" ht="30.0" customHeight="1">
      <c r="A243" s="15"/>
      <c r="F243" s="16"/>
    </row>
    <row r="244" ht="30.0" customHeight="1">
      <c r="A244" s="15"/>
      <c r="F244" s="16"/>
    </row>
    <row r="245" ht="30.0" customHeight="1">
      <c r="A245" s="15"/>
      <c r="F245" s="16"/>
    </row>
    <row r="246" ht="30.0" customHeight="1">
      <c r="A246" s="15"/>
      <c r="F246" s="16"/>
    </row>
    <row r="247" ht="30.0" customHeight="1">
      <c r="A247" s="15"/>
      <c r="F247" s="16"/>
    </row>
    <row r="248" ht="30.0" customHeight="1">
      <c r="A248" s="15"/>
      <c r="F248" s="16"/>
    </row>
    <row r="249" ht="30.0" customHeight="1">
      <c r="A249" s="15"/>
      <c r="F249" s="16"/>
    </row>
    <row r="250" ht="30.0" customHeight="1">
      <c r="A250" s="15"/>
      <c r="F250" s="16"/>
    </row>
    <row r="251" ht="30.0" customHeight="1">
      <c r="A251" s="15"/>
      <c r="F251" s="16"/>
    </row>
    <row r="252" ht="30.0" customHeight="1">
      <c r="A252" s="15"/>
      <c r="F252" s="16"/>
    </row>
    <row r="253" ht="30.0" customHeight="1">
      <c r="A253" s="15"/>
      <c r="F253" s="16"/>
    </row>
    <row r="254" ht="30.0" customHeight="1">
      <c r="A254" s="15"/>
      <c r="F254" s="16"/>
    </row>
    <row r="255" ht="30.0" customHeight="1">
      <c r="A255" s="15"/>
      <c r="F255" s="16"/>
    </row>
    <row r="256" ht="30.0" customHeight="1">
      <c r="A256" s="15"/>
      <c r="F256" s="16"/>
    </row>
    <row r="257" ht="30.0" customHeight="1">
      <c r="A257" s="15"/>
      <c r="F257" s="16"/>
    </row>
    <row r="258" ht="30.0" customHeight="1">
      <c r="A258" s="15"/>
      <c r="F258" s="16"/>
    </row>
    <row r="259" ht="30.0" customHeight="1">
      <c r="A259" s="15"/>
      <c r="F259" s="16"/>
    </row>
    <row r="260" ht="30.0" customHeight="1">
      <c r="A260" s="15"/>
      <c r="F260" s="16"/>
    </row>
    <row r="261" ht="30.0" customHeight="1">
      <c r="A261" s="15"/>
      <c r="F261" s="16"/>
    </row>
    <row r="262" ht="30.0" customHeight="1">
      <c r="A262" s="15"/>
      <c r="F262" s="16"/>
    </row>
    <row r="263" ht="30.0" customHeight="1">
      <c r="A263" s="15"/>
      <c r="F263" s="16"/>
    </row>
    <row r="264" ht="30.0" customHeight="1">
      <c r="A264" s="15"/>
      <c r="F264" s="16"/>
    </row>
    <row r="265" ht="30.0" customHeight="1">
      <c r="A265" s="15"/>
      <c r="F265" s="16"/>
    </row>
    <row r="266" ht="30.0" customHeight="1">
      <c r="A266" s="15"/>
      <c r="F266" s="16"/>
    </row>
    <row r="267" ht="30.0" customHeight="1">
      <c r="A267" s="15"/>
      <c r="F267" s="16"/>
    </row>
    <row r="268" ht="30.0" customHeight="1">
      <c r="A268" s="15"/>
      <c r="F268" s="16"/>
    </row>
    <row r="269" ht="30.0" customHeight="1">
      <c r="A269" s="15"/>
      <c r="F269" s="16"/>
    </row>
    <row r="270" ht="30.0" customHeight="1">
      <c r="A270" s="15"/>
      <c r="F270" s="16"/>
    </row>
    <row r="271" ht="30.0" customHeight="1">
      <c r="A271" s="15"/>
      <c r="F271" s="16"/>
    </row>
    <row r="272" ht="30.0" customHeight="1">
      <c r="A272" s="15"/>
      <c r="F272" s="16"/>
    </row>
    <row r="273" ht="30.0" customHeight="1">
      <c r="A273" s="15"/>
      <c r="F273" s="16"/>
    </row>
    <row r="274" ht="30.0" customHeight="1">
      <c r="A274" s="15"/>
      <c r="F274" s="16"/>
    </row>
    <row r="275" ht="30.0" customHeight="1">
      <c r="A275" s="15"/>
      <c r="F275" s="16"/>
    </row>
    <row r="276" ht="30.0" customHeight="1">
      <c r="A276" s="15"/>
      <c r="F276" s="16"/>
    </row>
    <row r="277" ht="30.0" customHeight="1">
      <c r="A277" s="15"/>
      <c r="F277" s="16"/>
    </row>
    <row r="278" ht="30.0" customHeight="1">
      <c r="A278" s="15"/>
      <c r="F278" s="16"/>
    </row>
    <row r="279" ht="30.0" customHeight="1">
      <c r="A279" s="15"/>
      <c r="F279" s="16"/>
    </row>
    <row r="280" ht="30.0" customHeight="1">
      <c r="A280" s="15"/>
      <c r="F280" s="16"/>
    </row>
    <row r="281" ht="30.0" customHeight="1">
      <c r="A281" s="15"/>
      <c r="F281" s="16"/>
    </row>
    <row r="282" ht="30.0" customHeight="1">
      <c r="A282" s="15"/>
      <c r="F282" s="16"/>
    </row>
    <row r="283" ht="30.0" customHeight="1">
      <c r="A283" s="15"/>
      <c r="F283" s="16"/>
    </row>
    <row r="284" ht="30.0" customHeight="1">
      <c r="A284" s="15"/>
      <c r="F284" s="16"/>
    </row>
    <row r="285" ht="30.0" customHeight="1">
      <c r="A285" s="15"/>
      <c r="F285" s="16"/>
    </row>
    <row r="286" ht="30.0" customHeight="1">
      <c r="A286" s="15"/>
      <c r="F286" s="16"/>
    </row>
    <row r="287" ht="30.0" customHeight="1">
      <c r="A287" s="15"/>
      <c r="F287" s="16"/>
    </row>
    <row r="288" ht="30.0" customHeight="1">
      <c r="A288" s="15"/>
      <c r="F288" s="16"/>
    </row>
    <row r="289" ht="30.0" customHeight="1">
      <c r="A289" s="15"/>
      <c r="F289" s="16"/>
    </row>
    <row r="290" ht="30.0" customHeight="1">
      <c r="A290" s="15"/>
      <c r="F290" s="16"/>
    </row>
    <row r="291" ht="30.0" customHeight="1">
      <c r="A291" s="15"/>
      <c r="F291" s="16"/>
    </row>
    <row r="292" ht="30.0" customHeight="1">
      <c r="A292" s="15"/>
      <c r="F292" s="16"/>
    </row>
    <row r="293" ht="30.0" customHeight="1">
      <c r="A293" s="15"/>
      <c r="F293" s="16"/>
    </row>
    <row r="294" ht="30.0" customHeight="1">
      <c r="A294" s="15"/>
      <c r="F294" s="16"/>
    </row>
    <row r="295" ht="30.0" customHeight="1">
      <c r="A295" s="15"/>
      <c r="F295" s="16"/>
    </row>
    <row r="296" ht="30.0" customHeight="1">
      <c r="A296" s="15"/>
      <c r="F296" s="16"/>
    </row>
    <row r="297" ht="30.0" customHeight="1">
      <c r="A297" s="15"/>
      <c r="F297" s="16"/>
    </row>
    <row r="298" ht="30.0" customHeight="1">
      <c r="A298" s="15"/>
      <c r="F298" s="16"/>
    </row>
    <row r="299" ht="30.0" customHeight="1">
      <c r="A299" s="15"/>
      <c r="F299" s="16"/>
    </row>
    <row r="300" ht="30.0" customHeight="1">
      <c r="A300" s="15"/>
      <c r="F300" s="16"/>
    </row>
    <row r="301" ht="30.0" customHeight="1">
      <c r="A301" s="15"/>
      <c r="F301" s="16"/>
    </row>
    <row r="302" ht="30.0" customHeight="1">
      <c r="A302" s="15"/>
      <c r="F302" s="16"/>
    </row>
    <row r="303" ht="30.0" customHeight="1">
      <c r="A303" s="15"/>
      <c r="F303" s="16"/>
    </row>
    <row r="304" ht="30.0" customHeight="1">
      <c r="A304" s="15"/>
      <c r="F304" s="16"/>
    </row>
    <row r="305" ht="30.0" customHeight="1">
      <c r="A305" s="15"/>
      <c r="F305" s="16"/>
    </row>
    <row r="306" ht="30.0" customHeight="1">
      <c r="A306" s="15"/>
      <c r="F306" s="16"/>
    </row>
    <row r="307" ht="30.0" customHeight="1">
      <c r="A307" s="15"/>
      <c r="F307" s="16"/>
    </row>
    <row r="308" ht="30.0" customHeight="1">
      <c r="A308" s="15"/>
      <c r="F308" s="16"/>
    </row>
    <row r="309" ht="30.0" customHeight="1">
      <c r="A309" s="15"/>
      <c r="F309" s="16"/>
    </row>
    <row r="310" ht="30.0" customHeight="1">
      <c r="A310" s="15"/>
      <c r="F310" s="16"/>
    </row>
    <row r="311" ht="30.0" customHeight="1">
      <c r="A311" s="15"/>
      <c r="F311" s="16"/>
    </row>
    <row r="312" ht="30.0" customHeight="1">
      <c r="A312" s="15"/>
      <c r="F312" s="16"/>
    </row>
    <row r="313" ht="30.0" customHeight="1">
      <c r="A313" s="15"/>
      <c r="F313" s="16"/>
    </row>
    <row r="314" ht="30.0" customHeight="1">
      <c r="A314" s="15"/>
      <c r="F314" s="16"/>
    </row>
    <row r="315" ht="30.0" customHeight="1">
      <c r="A315" s="15"/>
      <c r="F315" s="16"/>
    </row>
    <row r="316" ht="30.0" customHeight="1">
      <c r="A316" s="15"/>
      <c r="F316" s="16"/>
    </row>
    <row r="317" ht="30.0" customHeight="1">
      <c r="A317" s="15"/>
      <c r="F317" s="16"/>
    </row>
    <row r="318" ht="30.0" customHeight="1">
      <c r="A318" s="15"/>
      <c r="F318" s="16"/>
    </row>
    <row r="319" ht="30.0" customHeight="1">
      <c r="A319" s="15"/>
      <c r="F319" s="16"/>
    </row>
    <row r="320" ht="30.0" customHeight="1">
      <c r="A320" s="15"/>
      <c r="F320" s="16"/>
    </row>
    <row r="321" ht="30.0" customHeight="1">
      <c r="A321" s="15"/>
      <c r="F321" s="16"/>
    </row>
    <row r="322" ht="30.0" customHeight="1">
      <c r="A322" s="15"/>
      <c r="F322" s="16"/>
    </row>
    <row r="323" ht="30.0" customHeight="1">
      <c r="A323" s="15"/>
      <c r="F323" s="16"/>
    </row>
    <row r="324" ht="30.0" customHeight="1">
      <c r="A324" s="15"/>
      <c r="F324" s="16"/>
    </row>
    <row r="325" ht="30.0" customHeight="1">
      <c r="A325" s="15"/>
      <c r="F325" s="16"/>
    </row>
    <row r="326" ht="30.0" customHeight="1">
      <c r="A326" s="15"/>
      <c r="F326" s="16"/>
    </row>
    <row r="327" ht="30.0" customHeight="1">
      <c r="A327" s="15"/>
      <c r="F327" s="16"/>
    </row>
    <row r="328" ht="30.0" customHeight="1">
      <c r="A328" s="15"/>
      <c r="F328" s="16"/>
    </row>
    <row r="329" ht="30.0" customHeight="1">
      <c r="A329" s="15"/>
      <c r="F329" s="16"/>
    </row>
    <row r="330" ht="30.0" customHeight="1">
      <c r="A330" s="15"/>
      <c r="F330" s="16"/>
    </row>
    <row r="331" ht="30.0" customHeight="1">
      <c r="A331" s="15"/>
      <c r="F331" s="16"/>
    </row>
    <row r="332" ht="30.0" customHeight="1">
      <c r="A332" s="15"/>
      <c r="F332" s="16"/>
    </row>
    <row r="333" ht="30.0" customHeight="1">
      <c r="A333" s="15"/>
      <c r="F333" s="16"/>
    </row>
    <row r="334" ht="30.0" customHeight="1">
      <c r="A334" s="15"/>
      <c r="F334" s="16"/>
    </row>
    <row r="335" ht="30.0" customHeight="1">
      <c r="A335" s="15"/>
      <c r="F335" s="16"/>
    </row>
    <row r="336" ht="30.0" customHeight="1">
      <c r="A336" s="15"/>
      <c r="F336" s="16"/>
    </row>
    <row r="337" ht="30.0" customHeight="1">
      <c r="A337" s="15"/>
      <c r="F337" s="16"/>
    </row>
    <row r="338" ht="30.0" customHeight="1">
      <c r="A338" s="15"/>
      <c r="F338" s="16"/>
    </row>
    <row r="339" ht="30.0" customHeight="1">
      <c r="A339" s="15"/>
      <c r="F339" s="16"/>
    </row>
    <row r="340" ht="30.0" customHeight="1">
      <c r="A340" s="15"/>
      <c r="F340" s="16"/>
    </row>
    <row r="341" ht="30.0" customHeight="1">
      <c r="A341" s="15"/>
      <c r="F341" s="16"/>
    </row>
    <row r="342" ht="30.0" customHeight="1">
      <c r="A342" s="15"/>
      <c r="F342" s="16"/>
    </row>
    <row r="343" ht="30.0" customHeight="1">
      <c r="A343" s="15"/>
      <c r="F343" s="16"/>
    </row>
    <row r="344" ht="30.0" customHeight="1">
      <c r="A344" s="15"/>
      <c r="F344" s="16"/>
    </row>
    <row r="345" ht="30.0" customHeight="1">
      <c r="A345" s="15"/>
      <c r="F345" s="16"/>
    </row>
    <row r="346" ht="30.0" customHeight="1">
      <c r="A346" s="15"/>
      <c r="F346" s="16"/>
    </row>
    <row r="347" ht="30.0" customHeight="1">
      <c r="A347" s="15"/>
      <c r="F347" s="16"/>
    </row>
    <row r="348" ht="30.0" customHeight="1">
      <c r="A348" s="15"/>
      <c r="F348" s="16"/>
    </row>
    <row r="349" ht="30.0" customHeight="1">
      <c r="A349" s="15"/>
      <c r="F349" s="16"/>
    </row>
    <row r="350" ht="30.0" customHeight="1">
      <c r="A350" s="15"/>
      <c r="F350" s="16"/>
    </row>
    <row r="351" ht="30.0" customHeight="1">
      <c r="A351" s="15"/>
      <c r="F351" s="16"/>
    </row>
    <row r="352" ht="30.0" customHeight="1">
      <c r="A352" s="15"/>
      <c r="F352" s="16"/>
    </row>
    <row r="353" ht="30.0" customHeight="1">
      <c r="A353" s="15"/>
      <c r="F353" s="16"/>
    </row>
    <row r="354" ht="30.0" customHeight="1">
      <c r="A354" s="15"/>
      <c r="F354" s="16"/>
    </row>
    <row r="355" ht="30.0" customHeight="1">
      <c r="A355" s="15"/>
      <c r="F355" s="16"/>
    </row>
    <row r="356" ht="30.0" customHeight="1">
      <c r="A356" s="15"/>
      <c r="F356" s="16"/>
    </row>
    <row r="357" ht="30.0" customHeight="1">
      <c r="A357" s="15"/>
      <c r="F357" s="16"/>
    </row>
    <row r="358" ht="30.0" customHeight="1">
      <c r="A358" s="15"/>
      <c r="F358" s="16"/>
    </row>
    <row r="359" ht="30.0" customHeight="1">
      <c r="A359" s="15"/>
      <c r="F359" s="16"/>
    </row>
    <row r="360" ht="30.0" customHeight="1">
      <c r="A360" s="15"/>
      <c r="F360" s="16"/>
    </row>
    <row r="361" ht="30.0" customHeight="1">
      <c r="A361" s="15"/>
      <c r="F361" s="16"/>
    </row>
    <row r="362" ht="30.0" customHeight="1">
      <c r="A362" s="15"/>
      <c r="F362" s="16"/>
    </row>
    <row r="363" ht="30.0" customHeight="1">
      <c r="A363" s="15"/>
      <c r="F363" s="16"/>
    </row>
    <row r="364" ht="30.0" customHeight="1">
      <c r="A364" s="15"/>
      <c r="F364" s="16"/>
    </row>
    <row r="365" ht="30.0" customHeight="1">
      <c r="A365" s="15"/>
      <c r="F365" s="16"/>
    </row>
    <row r="366" ht="30.0" customHeight="1">
      <c r="A366" s="15"/>
      <c r="F366" s="16"/>
    </row>
    <row r="367" ht="30.0" customHeight="1">
      <c r="A367" s="15"/>
      <c r="F367" s="16"/>
    </row>
    <row r="368" ht="30.0" customHeight="1">
      <c r="A368" s="15"/>
      <c r="F368" s="16"/>
    </row>
    <row r="369" ht="30.0" customHeight="1">
      <c r="A369" s="15"/>
      <c r="F369" s="16"/>
    </row>
    <row r="370" ht="30.0" customHeight="1">
      <c r="A370" s="15"/>
      <c r="F370" s="16"/>
    </row>
    <row r="371" ht="30.0" customHeight="1">
      <c r="A371" s="15"/>
      <c r="F371" s="16"/>
    </row>
    <row r="372" ht="30.0" customHeight="1">
      <c r="A372" s="15"/>
      <c r="F372" s="16"/>
    </row>
    <row r="373" ht="30.0" customHeight="1">
      <c r="A373" s="15"/>
      <c r="F373" s="16"/>
    </row>
    <row r="374" ht="30.0" customHeight="1">
      <c r="A374" s="15"/>
      <c r="F374" s="16"/>
    </row>
    <row r="375" ht="30.0" customHeight="1">
      <c r="A375" s="15"/>
      <c r="F375" s="16"/>
    </row>
    <row r="376" ht="30.0" customHeight="1">
      <c r="A376" s="15"/>
      <c r="F376" s="16"/>
    </row>
    <row r="377" ht="30.0" customHeight="1">
      <c r="A377" s="15"/>
      <c r="F377" s="16"/>
    </row>
    <row r="378" ht="30.0" customHeight="1">
      <c r="A378" s="15"/>
      <c r="F378" s="16"/>
    </row>
    <row r="379" ht="30.0" customHeight="1">
      <c r="A379" s="15"/>
      <c r="F379" s="16"/>
    </row>
    <row r="380" ht="30.0" customHeight="1">
      <c r="A380" s="15"/>
      <c r="F380" s="16"/>
    </row>
    <row r="381" ht="30.0" customHeight="1">
      <c r="A381" s="15"/>
      <c r="F381" s="16"/>
    </row>
    <row r="382" ht="30.0" customHeight="1">
      <c r="A382" s="15"/>
      <c r="F382" s="16"/>
    </row>
    <row r="383" ht="30.0" customHeight="1">
      <c r="A383" s="15"/>
      <c r="F383" s="16"/>
    </row>
    <row r="384" ht="30.0" customHeight="1">
      <c r="A384" s="15"/>
      <c r="F384" s="16"/>
    </row>
    <row r="385" ht="30.0" customHeight="1">
      <c r="A385" s="15"/>
      <c r="F385" s="16"/>
    </row>
    <row r="386" ht="30.0" customHeight="1">
      <c r="A386" s="15"/>
      <c r="F386" s="16"/>
    </row>
    <row r="387" ht="30.0" customHeight="1">
      <c r="A387" s="15"/>
      <c r="F387" s="16"/>
    </row>
    <row r="388" ht="30.0" customHeight="1">
      <c r="A388" s="15"/>
      <c r="F388" s="16"/>
    </row>
    <row r="389" ht="30.0" customHeight="1">
      <c r="A389" s="15"/>
      <c r="F389" s="16"/>
    </row>
    <row r="390" ht="30.0" customHeight="1">
      <c r="A390" s="15"/>
      <c r="F390" s="16"/>
    </row>
    <row r="391" ht="30.0" customHeight="1">
      <c r="A391" s="15"/>
      <c r="F391" s="16"/>
    </row>
    <row r="392" ht="30.0" customHeight="1">
      <c r="A392" s="15"/>
      <c r="F392" s="16"/>
    </row>
    <row r="393" ht="30.0" customHeight="1">
      <c r="A393" s="15"/>
      <c r="F393" s="16"/>
    </row>
    <row r="394" ht="30.0" customHeight="1">
      <c r="A394" s="15"/>
      <c r="F394" s="16"/>
    </row>
    <row r="395" ht="30.0" customHeight="1">
      <c r="A395" s="15"/>
      <c r="F395" s="16"/>
    </row>
    <row r="396" ht="30.0" customHeight="1">
      <c r="A396" s="15"/>
      <c r="F396" s="16"/>
    </row>
    <row r="397" ht="30.0" customHeight="1">
      <c r="A397" s="15"/>
      <c r="F397" s="16"/>
    </row>
    <row r="398" ht="30.0" customHeight="1">
      <c r="A398" s="15"/>
      <c r="F398" s="16"/>
    </row>
    <row r="399" ht="30.0" customHeight="1">
      <c r="A399" s="15"/>
      <c r="F399" s="16"/>
    </row>
    <row r="400" ht="30.0" customHeight="1">
      <c r="A400" s="15"/>
      <c r="F400" s="16"/>
    </row>
    <row r="401" ht="30.0" customHeight="1">
      <c r="A401" s="15"/>
      <c r="F401" s="16"/>
    </row>
    <row r="402" ht="30.0" customHeight="1">
      <c r="A402" s="15"/>
      <c r="F402" s="16"/>
    </row>
    <row r="403" ht="30.0" customHeight="1">
      <c r="A403" s="15"/>
      <c r="F403" s="16"/>
    </row>
    <row r="404" ht="30.0" customHeight="1">
      <c r="A404" s="15"/>
      <c r="F404" s="16"/>
    </row>
    <row r="405" ht="30.0" customHeight="1">
      <c r="A405" s="15"/>
      <c r="F405" s="16"/>
    </row>
    <row r="406" ht="30.0" customHeight="1">
      <c r="A406" s="15"/>
      <c r="F406" s="16"/>
    </row>
    <row r="407" ht="30.0" customHeight="1">
      <c r="A407" s="15"/>
      <c r="F407" s="16"/>
    </row>
    <row r="408" ht="30.0" customHeight="1">
      <c r="A408" s="15"/>
      <c r="F408" s="16"/>
    </row>
    <row r="409" ht="30.0" customHeight="1">
      <c r="A409" s="15"/>
      <c r="F409" s="16"/>
    </row>
    <row r="410" ht="30.0" customHeight="1">
      <c r="A410" s="15"/>
      <c r="F410" s="16"/>
    </row>
    <row r="411" ht="30.0" customHeight="1">
      <c r="A411" s="15"/>
      <c r="F411" s="16"/>
    </row>
    <row r="412" ht="30.0" customHeight="1">
      <c r="A412" s="15"/>
      <c r="F412" s="16"/>
    </row>
    <row r="413" ht="30.0" customHeight="1">
      <c r="A413" s="15"/>
      <c r="F413" s="16"/>
    </row>
    <row r="414" ht="30.0" customHeight="1">
      <c r="A414" s="15"/>
      <c r="F414" s="16"/>
    </row>
    <row r="415" ht="30.0" customHeight="1">
      <c r="A415" s="15"/>
      <c r="F415" s="16"/>
    </row>
    <row r="416" ht="30.0" customHeight="1">
      <c r="A416" s="15"/>
      <c r="F416" s="16"/>
    </row>
    <row r="417" ht="30.0" customHeight="1">
      <c r="A417" s="15"/>
      <c r="F417" s="16"/>
    </row>
    <row r="418" ht="30.0" customHeight="1">
      <c r="A418" s="15"/>
      <c r="F418" s="16"/>
    </row>
    <row r="419" ht="30.0" customHeight="1">
      <c r="A419" s="15"/>
      <c r="F419" s="16"/>
    </row>
    <row r="420" ht="30.0" customHeight="1">
      <c r="A420" s="15"/>
      <c r="F420" s="16"/>
    </row>
    <row r="421" ht="30.0" customHeight="1">
      <c r="A421" s="15"/>
      <c r="F421" s="16"/>
    </row>
    <row r="422" ht="30.0" customHeight="1">
      <c r="A422" s="15"/>
      <c r="F422" s="16"/>
    </row>
    <row r="423" ht="30.0" customHeight="1">
      <c r="A423" s="15"/>
      <c r="F423" s="16"/>
    </row>
    <row r="424" ht="30.0" customHeight="1">
      <c r="A424" s="15"/>
      <c r="F424" s="16"/>
    </row>
    <row r="425" ht="30.0" customHeight="1">
      <c r="A425" s="15"/>
      <c r="F425" s="16"/>
    </row>
    <row r="426" ht="30.0" customHeight="1">
      <c r="A426" s="15"/>
      <c r="F426" s="16"/>
    </row>
    <row r="427" ht="30.0" customHeight="1">
      <c r="A427" s="15"/>
      <c r="F427" s="16"/>
    </row>
    <row r="428" ht="30.0" customHeight="1">
      <c r="A428" s="15"/>
      <c r="F428" s="16"/>
    </row>
    <row r="429" ht="30.0" customHeight="1">
      <c r="A429" s="15"/>
      <c r="F429" s="16"/>
    </row>
    <row r="430" ht="30.0" customHeight="1">
      <c r="A430" s="15"/>
      <c r="F430" s="16"/>
    </row>
    <row r="431" ht="30.0" customHeight="1">
      <c r="A431" s="15"/>
      <c r="F431" s="16"/>
    </row>
    <row r="432" ht="30.0" customHeight="1">
      <c r="A432" s="15"/>
      <c r="F432" s="16"/>
    </row>
    <row r="433" ht="30.0" customHeight="1">
      <c r="A433" s="15"/>
      <c r="F433" s="16"/>
    </row>
    <row r="434" ht="30.0" customHeight="1">
      <c r="A434" s="15"/>
      <c r="F434" s="16"/>
    </row>
    <row r="435" ht="30.0" customHeight="1">
      <c r="A435" s="15"/>
      <c r="F435" s="16"/>
    </row>
    <row r="436" ht="30.0" customHeight="1">
      <c r="A436" s="15"/>
      <c r="F436" s="16"/>
    </row>
    <row r="437" ht="30.0" customHeight="1">
      <c r="A437" s="15"/>
      <c r="F437" s="16"/>
    </row>
    <row r="438" ht="30.0" customHeight="1">
      <c r="A438" s="15"/>
      <c r="F438" s="16"/>
    </row>
    <row r="439" ht="30.0" customHeight="1">
      <c r="A439" s="15"/>
      <c r="F439" s="16"/>
    </row>
    <row r="440" ht="30.0" customHeight="1">
      <c r="A440" s="15"/>
      <c r="F440" s="16"/>
    </row>
    <row r="441" ht="30.0" customHeight="1">
      <c r="A441" s="15"/>
      <c r="F441" s="16"/>
    </row>
    <row r="442" ht="30.0" customHeight="1">
      <c r="A442" s="15"/>
      <c r="F442" s="16"/>
    </row>
    <row r="443" ht="30.0" customHeight="1">
      <c r="A443" s="15"/>
      <c r="F443" s="16"/>
    </row>
    <row r="444" ht="30.0" customHeight="1">
      <c r="A444" s="15"/>
      <c r="F444" s="16"/>
    </row>
    <row r="445" ht="30.0" customHeight="1">
      <c r="A445" s="15"/>
      <c r="F445" s="16"/>
    </row>
    <row r="446" ht="30.0" customHeight="1">
      <c r="A446" s="15"/>
      <c r="F446" s="16"/>
    </row>
    <row r="447" ht="30.0" customHeight="1">
      <c r="A447" s="15"/>
      <c r="F447" s="16"/>
    </row>
    <row r="448" ht="30.0" customHeight="1">
      <c r="A448" s="15"/>
      <c r="F448" s="16"/>
    </row>
    <row r="449" ht="30.0" customHeight="1">
      <c r="A449" s="15"/>
      <c r="F449" s="16"/>
    </row>
    <row r="450" ht="30.0" customHeight="1">
      <c r="A450" s="15"/>
      <c r="F450" s="16"/>
    </row>
    <row r="451" ht="30.0" customHeight="1">
      <c r="A451" s="15"/>
      <c r="F451" s="16"/>
    </row>
    <row r="452" ht="30.0" customHeight="1">
      <c r="A452" s="15"/>
      <c r="F452" s="16"/>
    </row>
    <row r="453" ht="30.0" customHeight="1">
      <c r="A453" s="15"/>
      <c r="F453" s="16"/>
    </row>
    <row r="454" ht="30.0" customHeight="1">
      <c r="A454" s="15"/>
      <c r="F454" s="16"/>
    </row>
    <row r="455" ht="30.0" customHeight="1">
      <c r="A455" s="15"/>
      <c r="F455" s="16"/>
    </row>
    <row r="456" ht="30.0" customHeight="1">
      <c r="A456" s="15"/>
      <c r="F456" s="16"/>
    </row>
    <row r="457" ht="30.0" customHeight="1">
      <c r="A457" s="15"/>
      <c r="F457" s="16"/>
    </row>
    <row r="458" ht="30.0" customHeight="1">
      <c r="A458" s="15"/>
      <c r="F458" s="16"/>
    </row>
    <row r="459" ht="30.0" customHeight="1">
      <c r="A459" s="15"/>
      <c r="F459" s="16"/>
    </row>
    <row r="460" ht="30.0" customHeight="1">
      <c r="A460" s="15"/>
      <c r="F460" s="16"/>
    </row>
    <row r="461" ht="30.0" customHeight="1">
      <c r="A461" s="15"/>
      <c r="F461" s="16"/>
    </row>
    <row r="462" ht="30.0" customHeight="1">
      <c r="A462" s="15"/>
      <c r="F462" s="16"/>
    </row>
    <row r="463" ht="30.0" customHeight="1">
      <c r="A463" s="15"/>
      <c r="F463" s="16"/>
    </row>
    <row r="464" ht="30.0" customHeight="1">
      <c r="A464" s="15"/>
      <c r="F464" s="16"/>
    </row>
    <row r="465" ht="30.0" customHeight="1">
      <c r="A465" s="15"/>
      <c r="F465" s="16"/>
    </row>
    <row r="466" ht="30.0" customHeight="1">
      <c r="A466" s="15"/>
      <c r="F466" s="16"/>
    </row>
    <row r="467" ht="30.0" customHeight="1">
      <c r="A467" s="15"/>
      <c r="F467" s="16"/>
    </row>
    <row r="468" ht="30.0" customHeight="1">
      <c r="A468" s="15"/>
      <c r="F468" s="16"/>
    </row>
    <row r="469" ht="30.0" customHeight="1">
      <c r="A469" s="15"/>
      <c r="F469" s="16"/>
    </row>
    <row r="470" ht="30.0" customHeight="1">
      <c r="A470" s="15"/>
      <c r="F470" s="16"/>
    </row>
    <row r="471" ht="30.0" customHeight="1">
      <c r="A471" s="15"/>
      <c r="F471" s="16"/>
    </row>
    <row r="472" ht="30.0" customHeight="1">
      <c r="A472" s="15"/>
      <c r="F472" s="16"/>
    </row>
    <row r="473" ht="30.0" customHeight="1">
      <c r="A473" s="15"/>
      <c r="F473" s="16"/>
    </row>
    <row r="474" ht="30.0" customHeight="1">
      <c r="A474" s="15"/>
      <c r="F474" s="16"/>
    </row>
    <row r="475" ht="30.0" customHeight="1">
      <c r="A475" s="15"/>
      <c r="F475" s="16"/>
    </row>
    <row r="476" ht="30.0" customHeight="1">
      <c r="A476" s="15"/>
      <c r="F476" s="16"/>
    </row>
    <row r="477" ht="30.0" customHeight="1">
      <c r="A477" s="15"/>
      <c r="F477" s="16"/>
    </row>
    <row r="478" ht="30.0" customHeight="1">
      <c r="A478" s="15"/>
      <c r="F478" s="16"/>
    </row>
    <row r="479" ht="30.0" customHeight="1">
      <c r="A479" s="15"/>
      <c r="F479" s="16"/>
    </row>
    <row r="480" ht="30.0" customHeight="1">
      <c r="A480" s="15"/>
      <c r="F480" s="16"/>
    </row>
    <row r="481" ht="30.0" customHeight="1">
      <c r="A481" s="15"/>
      <c r="F481" s="16"/>
    </row>
    <row r="482" ht="30.0" customHeight="1">
      <c r="A482" s="15"/>
      <c r="F482" s="16"/>
    </row>
    <row r="483" ht="30.0" customHeight="1">
      <c r="A483" s="15"/>
      <c r="F483" s="16"/>
    </row>
    <row r="484" ht="30.0" customHeight="1">
      <c r="A484" s="15"/>
      <c r="F484" s="16"/>
    </row>
    <row r="485" ht="30.0" customHeight="1">
      <c r="A485" s="15"/>
      <c r="F485" s="16"/>
    </row>
    <row r="486" ht="30.0" customHeight="1">
      <c r="A486" s="15"/>
      <c r="F486" s="16"/>
    </row>
    <row r="487" ht="30.0" customHeight="1">
      <c r="A487" s="15"/>
      <c r="F487" s="16"/>
    </row>
    <row r="488" ht="30.0" customHeight="1">
      <c r="A488" s="15"/>
      <c r="F488" s="16"/>
    </row>
    <row r="489" ht="30.0" customHeight="1">
      <c r="A489" s="15"/>
      <c r="F489" s="16"/>
    </row>
    <row r="490" ht="30.0" customHeight="1">
      <c r="A490" s="15"/>
      <c r="F490" s="16"/>
    </row>
    <row r="491" ht="30.0" customHeight="1">
      <c r="A491" s="15"/>
      <c r="F491" s="16"/>
    </row>
    <row r="492" ht="30.0" customHeight="1">
      <c r="A492" s="15"/>
      <c r="F492" s="16"/>
    </row>
    <row r="493" ht="30.0" customHeight="1">
      <c r="A493" s="15"/>
      <c r="F493" s="16"/>
    </row>
    <row r="494" ht="30.0" customHeight="1">
      <c r="A494" s="15"/>
      <c r="F494" s="16"/>
    </row>
    <row r="495" ht="30.0" customHeight="1">
      <c r="A495" s="15"/>
      <c r="F495" s="16"/>
    </row>
    <row r="496" ht="30.0" customHeight="1">
      <c r="A496" s="15"/>
      <c r="F496" s="16"/>
    </row>
    <row r="497" ht="30.0" customHeight="1">
      <c r="A497" s="15"/>
      <c r="F497" s="16"/>
    </row>
    <row r="498" ht="30.0" customHeight="1">
      <c r="A498" s="15"/>
      <c r="F498" s="16"/>
    </row>
    <row r="499" ht="30.0" customHeight="1">
      <c r="A499" s="15"/>
      <c r="F499" s="16"/>
    </row>
    <row r="500" ht="30.0" customHeight="1">
      <c r="A500" s="15"/>
      <c r="F500" s="16"/>
    </row>
    <row r="501" ht="30.0" customHeight="1">
      <c r="A501" s="15"/>
      <c r="F501" s="16"/>
    </row>
    <row r="502" ht="30.0" customHeight="1">
      <c r="A502" s="15"/>
      <c r="F502" s="16"/>
    </row>
    <row r="503" ht="30.0" customHeight="1">
      <c r="A503" s="15"/>
      <c r="F503" s="16"/>
    </row>
    <row r="504" ht="30.0" customHeight="1">
      <c r="A504" s="15"/>
      <c r="F504" s="16"/>
    </row>
    <row r="505" ht="30.0" customHeight="1">
      <c r="A505" s="15"/>
      <c r="F505" s="16"/>
    </row>
    <row r="506" ht="30.0" customHeight="1">
      <c r="A506" s="15"/>
      <c r="F506" s="16"/>
    </row>
    <row r="507" ht="30.0" customHeight="1">
      <c r="A507" s="15"/>
      <c r="F507" s="16"/>
    </row>
    <row r="508" ht="30.0" customHeight="1">
      <c r="A508" s="15"/>
      <c r="F508" s="16"/>
    </row>
    <row r="509" ht="30.0" customHeight="1">
      <c r="A509" s="15"/>
      <c r="F509" s="16"/>
    </row>
    <row r="510" ht="30.0" customHeight="1">
      <c r="A510" s="15"/>
      <c r="F510" s="16"/>
    </row>
    <row r="511" ht="30.0" customHeight="1">
      <c r="A511" s="15"/>
      <c r="F511" s="16"/>
    </row>
    <row r="512" ht="30.0" customHeight="1">
      <c r="A512" s="15"/>
      <c r="F512" s="16"/>
    </row>
    <row r="513" ht="30.0" customHeight="1">
      <c r="A513" s="15"/>
      <c r="F513" s="16"/>
    </row>
    <row r="514" ht="30.0" customHeight="1">
      <c r="A514" s="15"/>
      <c r="F514" s="16"/>
    </row>
    <row r="515" ht="30.0" customHeight="1">
      <c r="A515" s="15"/>
      <c r="F515" s="16"/>
    </row>
    <row r="516" ht="30.0" customHeight="1">
      <c r="A516" s="15"/>
      <c r="F516" s="16"/>
    </row>
    <row r="517" ht="30.0" customHeight="1">
      <c r="A517" s="15"/>
      <c r="F517" s="16"/>
    </row>
    <row r="518" ht="30.0" customHeight="1">
      <c r="A518" s="15"/>
      <c r="F518" s="16"/>
    </row>
    <row r="519" ht="30.0" customHeight="1">
      <c r="A519" s="15"/>
      <c r="F519" s="16"/>
    </row>
    <row r="520" ht="30.0" customHeight="1">
      <c r="A520" s="15"/>
      <c r="F520" s="16"/>
    </row>
    <row r="521" ht="30.0" customHeight="1">
      <c r="A521" s="15"/>
      <c r="F521" s="16"/>
    </row>
    <row r="522" ht="30.0" customHeight="1">
      <c r="A522" s="15"/>
      <c r="F522" s="16"/>
    </row>
    <row r="523" ht="30.0" customHeight="1">
      <c r="A523" s="15"/>
      <c r="F523" s="16"/>
    </row>
    <row r="524" ht="30.0" customHeight="1">
      <c r="A524" s="15"/>
      <c r="F524" s="16"/>
    </row>
    <row r="525" ht="30.0" customHeight="1">
      <c r="A525" s="15"/>
      <c r="F525" s="16"/>
    </row>
    <row r="526" ht="30.0" customHeight="1">
      <c r="A526" s="15"/>
      <c r="F526" s="16"/>
    </row>
    <row r="527" ht="30.0" customHeight="1">
      <c r="A527" s="15"/>
      <c r="F527" s="16"/>
    </row>
    <row r="528" ht="30.0" customHeight="1">
      <c r="A528" s="15"/>
      <c r="F528" s="16"/>
    </row>
    <row r="529" ht="30.0" customHeight="1">
      <c r="A529" s="15"/>
      <c r="F529" s="16"/>
    </row>
    <row r="530" ht="30.0" customHeight="1">
      <c r="A530" s="15"/>
      <c r="F530" s="16"/>
    </row>
    <row r="531" ht="30.0" customHeight="1">
      <c r="A531" s="15"/>
      <c r="F531" s="16"/>
    </row>
    <row r="532" ht="30.0" customHeight="1">
      <c r="A532" s="15"/>
      <c r="F532" s="16"/>
    </row>
    <row r="533" ht="30.0" customHeight="1">
      <c r="A533" s="15"/>
      <c r="F533" s="16"/>
    </row>
    <row r="534" ht="30.0" customHeight="1">
      <c r="A534" s="15"/>
      <c r="F534" s="16"/>
    </row>
    <row r="535" ht="30.0" customHeight="1">
      <c r="A535" s="15"/>
      <c r="F535" s="16"/>
    </row>
    <row r="536" ht="30.0" customHeight="1">
      <c r="A536" s="15"/>
      <c r="F536" s="16"/>
    </row>
    <row r="537" ht="30.0" customHeight="1">
      <c r="A537" s="15"/>
      <c r="F537" s="16"/>
    </row>
    <row r="538" ht="30.0" customHeight="1">
      <c r="A538" s="15"/>
      <c r="F538" s="16"/>
    </row>
    <row r="539" ht="30.0" customHeight="1">
      <c r="A539" s="15"/>
      <c r="F539" s="16"/>
    </row>
    <row r="540" ht="30.0" customHeight="1">
      <c r="A540" s="15"/>
      <c r="F540" s="16"/>
    </row>
    <row r="541" ht="30.0" customHeight="1">
      <c r="A541" s="15"/>
      <c r="F541" s="16"/>
    </row>
    <row r="542" ht="30.0" customHeight="1">
      <c r="A542" s="15"/>
      <c r="F542" s="16"/>
    </row>
    <row r="543" ht="30.0" customHeight="1">
      <c r="A543" s="15"/>
      <c r="F543" s="16"/>
    </row>
    <row r="544" ht="30.0" customHeight="1">
      <c r="A544" s="15"/>
      <c r="F544" s="16"/>
    </row>
    <row r="545" ht="30.0" customHeight="1">
      <c r="A545" s="15"/>
      <c r="F545" s="16"/>
    </row>
    <row r="546" ht="30.0" customHeight="1">
      <c r="A546" s="15"/>
      <c r="F546" s="16"/>
    </row>
    <row r="547" ht="30.0" customHeight="1">
      <c r="A547" s="15"/>
      <c r="F547" s="16"/>
    </row>
    <row r="548" ht="30.0" customHeight="1">
      <c r="A548" s="15"/>
      <c r="F548" s="16"/>
    </row>
    <row r="549" ht="30.0" customHeight="1">
      <c r="A549" s="15"/>
      <c r="F549" s="16"/>
    </row>
    <row r="550" ht="30.0" customHeight="1">
      <c r="A550" s="15"/>
      <c r="F550" s="16"/>
    </row>
    <row r="551" ht="30.0" customHeight="1">
      <c r="A551" s="15"/>
      <c r="F551" s="16"/>
    </row>
    <row r="552" ht="30.0" customHeight="1">
      <c r="A552" s="15"/>
      <c r="F552" s="16"/>
    </row>
    <row r="553" ht="30.0" customHeight="1">
      <c r="A553" s="15"/>
      <c r="F553" s="16"/>
    </row>
    <row r="554" ht="30.0" customHeight="1">
      <c r="A554" s="15"/>
      <c r="F554" s="16"/>
    </row>
    <row r="555" ht="30.0" customHeight="1">
      <c r="A555" s="15"/>
      <c r="F555" s="16"/>
    </row>
    <row r="556" ht="30.0" customHeight="1">
      <c r="A556" s="15"/>
      <c r="F556" s="16"/>
    </row>
    <row r="557" ht="30.0" customHeight="1">
      <c r="A557" s="15"/>
      <c r="F557" s="16"/>
    </row>
    <row r="558" ht="30.0" customHeight="1">
      <c r="A558" s="15"/>
      <c r="F558" s="16"/>
    </row>
    <row r="559" ht="30.0" customHeight="1">
      <c r="A559" s="15"/>
      <c r="F559" s="16"/>
    </row>
    <row r="560" ht="30.0" customHeight="1">
      <c r="A560" s="15"/>
      <c r="F560" s="16"/>
    </row>
    <row r="561" ht="30.0" customHeight="1">
      <c r="A561" s="15"/>
      <c r="F561" s="16"/>
    </row>
    <row r="562" ht="30.0" customHeight="1">
      <c r="A562" s="15"/>
      <c r="F562" s="16"/>
    </row>
    <row r="563" ht="30.0" customHeight="1">
      <c r="A563" s="15"/>
      <c r="F563" s="16"/>
    </row>
    <row r="564" ht="30.0" customHeight="1">
      <c r="A564" s="15"/>
      <c r="F564" s="16"/>
    </row>
    <row r="565" ht="30.0" customHeight="1">
      <c r="A565" s="15"/>
      <c r="F565" s="16"/>
    </row>
    <row r="566" ht="30.0" customHeight="1">
      <c r="A566" s="15"/>
      <c r="F566" s="16"/>
    </row>
    <row r="567" ht="30.0" customHeight="1">
      <c r="A567" s="15"/>
      <c r="F567" s="16"/>
    </row>
    <row r="568" ht="30.0" customHeight="1">
      <c r="A568" s="15"/>
      <c r="F568" s="16"/>
    </row>
    <row r="569" ht="30.0" customHeight="1">
      <c r="A569" s="15"/>
      <c r="F569" s="16"/>
    </row>
    <row r="570" ht="30.0" customHeight="1">
      <c r="A570" s="15"/>
      <c r="F570" s="16"/>
    </row>
    <row r="571" ht="30.0" customHeight="1">
      <c r="A571" s="15"/>
      <c r="F571" s="16"/>
    </row>
    <row r="572" ht="30.0" customHeight="1">
      <c r="A572" s="15"/>
      <c r="F572" s="16"/>
    </row>
    <row r="573" ht="30.0" customHeight="1">
      <c r="A573" s="15"/>
      <c r="F573" s="16"/>
    </row>
    <row r="574" ht="30.0" customHeight="1">
      <c r="A574" s="15"/>
      <c r="F574" s="16"/>
    </row>
    <row r="575" ht="30.0" customHeight="1">
      <c r="A575" s="15"/>
      <c r="F575" s="16"/>
    </row>
    <row r="576" ht="30.0" customHeight="1">
      <c r="A576" s="15"/>
      <c r="F576" s="16"/>
    </row>
    <row r="577" ht="30.0" customHeight="1">
      <c r="A577" s="15"/>
      <c r="F577" s="16"/>
    </row>
    <row r="578" ht="30.0" customHeight="1">
      <c r="A578" s="15"/>
      <c r="F578" s="16"/>
    </row>
    <row r="579" ht="30.0" customHeight="1">
      <c r="A579" s="15"/>
      <c r="F579" s="16"/>
    </row>
    <row r="580" ht="30.0" customHeight="1">
      <c r="A580" s="15"/>
      <c r="F580" s="16"/>
    </row>
    <row r="581" ht="30.0" customHeight="1">
      <c r="A581" s="15"/>
      <c r="F581" s="16"/>
    </row>
    <row r="582" ht="30.0" customHeight="1">
      <c r="A582" s="15"/>
      <c r="F582" s="16"/>
    </row>
    <row r="583" ht="30.0" customHeight="1">
      <c r="A583" s="15"/>
      <c r="F583" s="16"/>
    </row>
    <row r="584" ht="30.0" customHeight="1">
      <c r="A584" s="15"/>
      <c r="F584" s="16"/>
    </row>
    <row r="585" ht="30.0" customHeight="1">
      <c r="A585" s="15"/>
      <c r="F585" s="16"/>
    </row>
    <row r="586" ht="30.0" customHeight="1">
      <c r="A586" s="15"/>
      <c r="F586" s="16"/>
    </row>
    <row r="587" ht="30.0" customHeight="1">
      <c r="A587" s="15"/>
      <c r="F587" s="16"/>
    </row>
    <row r="588" ht="30.0" customHeight="1">
      <c r="A588" s="15"/>
      <c r="F588" s="16"/>
    </row>
    <row r="589" ht="30.0" customHeight="1">
      <c r="A589" s="15"/>
      <c r="F589" s="16"/>
    </row>
    <row r="590" ht="30.0" customHeight="1">
      <c r="A590" s="15"/>
      <c r="F590" s="16"/>
    </row>
    <row r="591" ht="30.0" customHeight="1">
      <c r="A591" s="15"/>
      <c r="F591" s="16"/>
    </row>
    <row r="592" ht="30.0" customHeight="1">
      <c r="A592" s="15"/>
      <c r="F592" s="16"/>
    </row>
    <row r="593" ht="30.0" customHeight="1">
      <c r="A593" s="15"/>
      <c r="F593" s="16"/>
    </row>
    <row r="594" ht="30.0" customHeight="1">
      <c r="A594" s="15"/>
      <c r="F594" s="16"/>
    </row>
    <row r="595" ht="30.0" customHeight="1">
      <c r="A595" s="15"/>
      <c r="F595" s="16"/>
    </row>
    <row r="596" ht="30.0" customHeight="1">
      <c r="A596" s="15"/>
      <c r="F596" s="16"/>
    </row>
    <row r="597" ht="30.0" customHeight="1">
      <c r="A597" s="15"/>
      <c r="F597" s="16"/>
    </row>
    <row r="598" ht="30.0" customHeight="1">
      <c r="A598" s="15"/>
      <c r="F598" s="16"/>
    </row>
    <row r="599" ht="30.0" customHeight="1">
      <c r="A599" s="15"/>
      <c r="F599" s="16"/>
    </row>
    <row r="600" ht="30.0" customHeight="1">
      <c r="A600" s="15"/>
      <c r="F600" s="16"/>
    </row>
    <row r="601" ht="30.0" customHeight="1">
      <c r="A601" s="15"/>
      <c r="F601" s="16"/>
    </row>
    <row r="602" ht="30.0" customHeight="1">
      <c r="A602" s="15"/>
      <c r="F602" s="16"/>
    </row>
    <row r="603" ht="30.0" customHeight="1">
      <c r="A603" s="15"/>
      <c r="F603" s="16"/>
    </row>
    <row r="604" ht="30.0" customHeight="1">
      <c r="A604" s="15"/>
      <c r="F604" s="16"/>
    </row>
    <row r="605" ht="30.0" customHeight="1">
      <c r="A605" s="15"/>
      <c r="F605" s="16"/>
    </row>
    <row r="606" ht="30.0" customHeight="1">
      <c r="A606" s="15"/>
      <c r="F606" s="16"/>
    </row>
    <row r="607" ht="30.0" customHeight="1">
      <c r="A607" s="15"/>
      <c r="F607" s="16"/>
    </row>
    <row r="608" ht="30.0" customHeight="1">
      <c r="A608" s="15"/>
      <c r="F608" s="16"/>
    </row>
    <row r="609" ht="30.0" customHeight="1">
      <c r="A609" s="15"/>
      <c r="F609" s="16"/>
    </row>
    <row r="610" ht="30.0" customHeight="1">
      <c r="A610" s="15"/>
      <c r="F610" s="16"/>
    </row>
    <row r="611" ht="30.0" customHeight="1">
      <c r="A611" s="15"/>
      <c r="F611" s="16"/>
    </row>
    <row r="612" ht="30.0" customHeight="1">
      <c r="A612" s="15"/>
      <c r="F612" s="16"/>
    </row>
    <row r="613" ht="30.0" customHeight="1">
      <c r="A613" s="15"/>
      <c r="F613" s="16"/>
    </row>
    <row r="614" ht="30.0" customHeight="1">
      <c r="A614" s="15"/>
      <c r="F614" s="16"/>
    </row>
    <row r="615" ht="30.0" customHeight="1">
      <c r="A615" s="15"/>
      <c r="F615" s="16"/>
    </row>
    <row r="616" ht="30.0" customHeight="1">
      <c r="A616" s="15"/>
      <c r="F616" s="16"/>
    </row>
    <row r="617" ht="30.0" customHeight="1">
      <c r="A617" s="15"/>
      <c r="F617" s="16"/>
    </row>
    <row r="618" ht="30.0" customHeight="1">
      <c r="A618" s="15"/>
      <c r="F618" s="16"/>
    </row>
    <row r="619" ht="30.0" customHeight="1">
      <c r="A619" s="15"/>
      <c r="F619" s="16"/>
    </row>
    <row r="620" ht="30.0" customHeight="1">
      <c r="A620" s="15"/>
      <c r="F620" s="16"/>
    </row>
    <row r="621" ht="30.0" customHeight="1">
      <c r="A621" s="15"/>
      <c r="F621" s="16"/>
    </row>
    <row r="622" ht="30.0" customHeight="1">
      <c r="A622" s="15"/>
      <c r="F622" s="16"/>
    </row>
    <row r="623" ht="30.0" customHeight="1">
      <c r="A623" s="15"/>
      <c r="F623" s="16"/>
    </row>
    <row r="624" ht="30.0" customHeight="1">
      <c r="A624" s="15"/>
      <c r="F624" s="16"/>
    </row>
    <row r="625" ht="30.0" customHeight="1">
      <c r="A625" s="15"/>
      <c r="F625" s="16"/>
    </row>
    <row r="626" ht="30.0" customHeight="1">
      <c r="A626" s="15"/>
      <c r="F626" s="16"/>
    </row>
    <row r="627" ht="30.0" customHeight="1">
      <c r="A627" s="15"/>
      <c r="F627" s="16"/>
    </row>
    <row r="628" ht="30.0" customHeight="1">
      <c r="A628" s="15"/>
      <c r="F628" s="16"/>
    </row>
    <row r="629" ht="30.0" customHeight="1">
      <c r="A629" s="15"/>
      <c r="F629" s="16"/>
    </row>
    <row r="630" ht="30.0" customHeight="1">
      <c r="A630" s="15"/>
      <c r="F630" s="16"/>
    </row>
    <row r="631" ht="30.0" customHeight="1">
      <c r="A631" s="15"/>
      <c r="F631" s="16"/>
    </row>
    <row r="632" ht="30.0" customHeight="1">
      <c r="A632" s="15"/>
      <c r="F632" s="16"/>
    </row>
    <row r="633" ht="30.0" customHeight="1">
      <c r="A633" s="15"/>
      <c r="F633" s="16"/>
    </row>
    <row r="634" ht="30.0" customHeight="1">
      <c r="A634" s="15"/>
      <c r="F634" s="16"/>
    </row>
    <row r="635" ht="30.0" customHeight="1">
      <c r="A635" s="15"/>
      <c r="F635" s="16"/>
    </row>
    <row r="636" ht="30.0" customHeight="1">
      <c r="A636" s="15"/>
      <c r="F636" s="16"/>
    </row>
    <row r="637" ht="30.0" customHeight="1">
      <c r="A637" s="15"/>
      <c r="F637" s="16"/>
    </row>
    <row r="638" ht="30.0" customHeight="1">
      <c r="A638" s="15"/>
      <c r="F638" s="16"/>
    </row>
    <row r="639" ht="30.0" customHeight="1">
      <c r="A639" s="15"/>
      <c r="F639" s="16"/>
    </row>
    <row r="640" ht="30.0" customHeight="1">
      <c r="A640" s="15"/>
      <c r="F640" s="16"/>
    </row>
    <row r="641" ht="30.0" customHeight="1">
      <c r="A641" s="15"/>
      <c r="F641" s="16"/>
    </row>
    <row r="642" ht="30.0" customHeight="1">
      <c r="A642" s="15"/>
      <c r="F642" s="16"/>
    </row>
    <row r="643" ht="30.0" customHeight="1">
      <c r="A643" s="15"/>
      <c r="F643" s="16"/>
    </row>
    <row r="644" ht="30.0" customHeight="1">
      <c r="A644" s="15"/>
      <c r="F644" s="16"/>
    </row>
    <row r="645" ht="30.0" customHeight="1">
      <c r="A645" s="15"/>
      <c r="F645" s="16"/>
    </row>
    <row r="646" ht="30.0" customHeight="1">
      <c r="A646" s="15"/>
      <c r="F646" s="16"/>
    </row>
    <row r="647" ht="30.0" customHeight="1">
      <c r="A647" s="15"/>
      <c r="F647" s="16"/>
    </row>
    <row r="648" ht="30.0" customHeight="1">
      <c r="A648" s="15"/>
      <c r="F648" s="16"/>
    </row>
    <row r="649" ht="30.0" customHeight="1">
      <c r="A649" s="15"/>
      <c r="F649" s="16"/>
    </row>
    <row r="650" ht="30.0" customHeight="1">
      <c r="A650" s="15"/>
      <c r="F650" s="16"/>
    </row>
    <row r="651" ht="30.0" customHeight="1">
      <c r="A651" s="15"/>
      <c r="F651" s="16"/>
    </row>
    <row r="652" ht="30.0" customHeight="1">
      <c r="A652" s="15"/>
      <c r="F652" s="16"/>
    </row>
    <row r="653" ht="30.0" customHeight="1">
      <c r="A653" s="15"/>
      <c r="F653" s="16"/>
    </row>
    <row r="654" ht="30.0" customHeight="1">
      <c r="A654" s="15"/>
      <c r="F654" s="16"/>
    </row>
    <row r="655" ht="30.0" customHeight="1">
      <c r="A655" s="15"/>
      <c r="F655" s="16"/>
    </row>
    <row r="656" ht="30.0" customHeight="1">
      <c r="A656" s="15"/>
      <c r="F656" s="16"/>
    </row>
    <row r="657" ht="30.0" customHeight="1">
      <c r="A657" s="15"/>
      <c r="F657" s="16"/>
    </row>
    <row r="658" ht="30.0" customHeight="1">
      <c r="A658" s="15"/>
      <c r="F658" s="16"/>
    </row>
    <row r="659" ht="30.0" customHeight="1">
      <c r="A659" s="15"/>
      <c r="F659" s="16"/>
    </row>
    <row r="660" ht="30.0" customHeight="1">
      <c r="A660" s="15"/>
      <c r="F660" s="16"/>
    </row>
    <row r="661" ht="30.0" customHeight="1">
      <c r="A661" s="15"/>
      <c r="F661" s="16"/>
    </row>
    <row r="662" ht="30.0" customHeight="1">
      <c r="A662" s="15"/>
      <c r="F662" s="16"/>
    </row>
    <row r="663" ht="30.0" customHeight="1">
      <c r="A663" s="15"/>
      <c r="F663" s="16"/>
    </row>
    <row r="664" ht="30.0" customHeight="1">
      <c r="A664" s="15"/>
      <c r="F664" s="16"/>
    </row>
    <row r="665" ht="30.0" customHeight="1">
      <c r="A665" s="15"/>
      <c r="F665" s="16"/>
    </row>
    <row r="666" ht="30.0" customHeight="1">
      <c r="A666" s="15"/>
      <c r="F666" s="16"/>
    </row>
    <row r="667" ht="30.0" customHeight="1">
      <c r="A667" s="15"/>
      <c r="F667" s="16"/>
    </row>
    <row r="668" ht="30.0" customHeight="1">
      <c r="A668" s="15"/>
      <c r="F668" s="16"/>
    </row>
    <row r="669" ht="30.0" customHeight="1">
      <c r="A669" s="15"/>
      <c r="F669" s="16"/>
    </row>
    <row r="670" ht="30.0" customHeight="1">
      <c r="A670" s="15"/>
      <c r="F670" s="16"/>
    </row>
    <row r="671" ht="30.0" customHeight="1">
      <c r="A671" s="15"/>
      <c r="F671" s="16"/>
    </row>
    <row r="672" ht="30.0" customHeight="1">
      <c r="A672" s="15"/>
      <c r="F672" s="16"/>
    </row>
    <row r="673" ht="30.0" customHeight="1">
      <c r="A673" s="15"/>
      <c r="F673" s="16"/>
    </row>
    <row r="674" ht="30.0" customHeight="1">
      <c r="A674" s="15"/>
      <c r="F674" s="16"/>
    </row>
    <row r="675" ht="30.0" customHeight="1">
      <c r="A675" s="15"/>
      <c r="F675" s="16"/>
    </row>
    <row r="676" ht="30.0" customHeight="1">
      <c r="A676" s="15"/>
      <c r="F676" s="16"/>
    </row>
    <row r="677" ht="30.0" customHeight="1">
      <c r="A677" s="15"/>
      <c r="F677" s="16"/>
    </row>
    <row r="678" ht="30.0" customHeight="1">
      <c r="A678" s="15"/>
      <c r="F678" s="16"/>
    </row>
    <row r="679" ht="30.0" customHeight="1">
      <c r="A679" s="15"/>
      <c r="F679" s="16"/>
    </row>
    <row r="680" ht="30.0" customHeight="1">
      <c r="A680" s="15"/>
      <c r="F680" s="16"/>
    </row>
    <row r="681" ht="30.0" customHeight="1">
      <c r="A681" s="15"/>
      <c r="F681" s="16"/>
    </row>
    <row r="682" ht="30.0" customHeight="1">
      <c r="A682" s="15"/>
      <c r="F682" s="16"/>
    </row>
    <row r="683" ht="30.0" customHeight="1">
      <c r="A683" s="15"/>
      <c r="F683" s="16"/>
    </row>
    <row r="684" ht="30.0" customHeight="1">
      <c r="A684" s="15"/>
      <c r="F684" s="16"/>
    </row>
    <row r="685" ht="30.0" customHeight="1">
      <c r="A685" s="15"/>
      <c r="F685" s="16"/>
    </row>
    <row r="686" ht="30.0" customHeight="1">
      <c r="A686" s="15"/>
      <c r="F686" s="16"/>
    </row>
    <row r="687" ht="30.0" customHeight="1">
      <c r="A687" s="15"/>
      <c r="F687" s="16"/>
    </row>
    <row r="688" ht="30.0" customHeight="1">
      <c r="A688" s="15"/>
      <c r="F688" s="16"/>
    </row>
    <row r="689" ht="30.0" customHeight="1">
      <c r="A689" s="15"/>
      <c r="F689" s="16"/>
    </row>
    <row r="690" ht="30.0" customHeight="1">
      <c r="A690" s="15"/>
      <c r="F690" s="16"/>
    </row>
    <row r="691" ht="30.0" customHeight="1">
      <c r="A691" s="15"/>
      <c r="F691" s="16"/>
    </row>
    <row r="692" ht="30.0" customHeight="1">
      <c r="A692" s="15"/>
      <c r="F692" s="16"/>
    </row>
    <row r="693" ht="30.0" customHeight="1">
      <c r="A693" s="15"/>
      <c r="F693" s="16"/>
    </row>
    <row r="694" ht="30.0" customHeight="1">
      <c r="A694" s="15"/>
      <c r="F694" s="16"/>
    </row>
    <row r="695" ht="30.0" customHeight="1">
      <c r="A695" s="15"/>
      <c r="F695" s="16"/>
    </row>
    <row r="696" ht="30.0" customHeight="1">
      <c r="A696" s="15"/>
      <c r="F696" s="16"/>
    </row>
    <row r="697" ht="30.0" customHeight="1">
      <c r="A697" s="15"/>
      <c r="F697" s="16"/>
    </row>
    <row r="698" ht="30.0" customHeight="1">
      <c r="A698" s="15"/>
      <c r="F698" s="16"/>
    </row>
    <row r="699" ht="30.0" customHeight="1">
      <c r="A699" s="15"/>
      <c r="F699" s="16"/>
    </row>
    <row r="700" ht="30.0" customHeight="1">
      <c r="A700" s="15"/>
      <c r="F700" s="16"/>
    </row>
    <row r="701" ht="30.0" customHeight="1">
      <c r="A701" s="15"/>
      <c r="F701" s="16"/>
    </row>
    <row r="702" ht="30.0" customHeight="1">
      <c r="A702" s="15"/>
      <c r="F702" s="16"/>
    </row>
    <row r="703" ht="30.0" customHeight="1">
      <c r="A703" s="15"/>
      <c r="F703" s="16"/>
    </row>
    <row r="704" ht="30.0" customHeight="1">
      <c r="A704" s="15"/>
      <c r="F704" s="16"/>
    </row>
    <row r="705" ht="30.0" customHeight="1">
      <c r="A705" s="15"/>
      <c r="F705" s="16"/>
    </row>
    <row r="706" ht="30.0" customHeight="1">
      <c r="A706" s="15"/>
      <c r="F706" s="16"/>
    </row>
    <row r="707" ht="30.0" customHeight="1">
      <c r="A707" s="15"/>
      <c r="F707" s="16"/>
    </row>
    <row r="708" ht="30.0" customHeight="1">
      <c r="A708" s="15"/>
      <c r="F708" s="16"/>
    </row>
    <row r="709" ht="30.0" customHeight="1">
      <c r="A709" s="15"/>
      <c r="F709" s="16"/>
    </row>
    <row r="710" ht="30.0" customHeight="1">
      <c r="A710" s="15"/>
      <c r="F710" s="16"/>
    </row>
    <row r="711" ht="30.0" customHeight="1">
      <c r="A711" s="15"/>
      <c r="F711" s="16"/>
    </row>
    <row r="712" ht="30.0" customHeight="1">
      <c r="A712" s="15"/>
      <c r="F712" s="16"/>
    </row>
    <row r="713" ht="30.0" customHeight="1">
      <c r="A713" s="15"/>
      <c r="F713" s="16"/>
    </row>
    <row r="714" ht="30.0" customHeight="1">
      <c r="A714" s="15"/>
      <c r="F714" s="16"/>
    </row>
    <row r="715" ht="30.0" customHeight="1">
      <c r="A715" s="15"/>
      <c r="F715" s="16"/>
    </row>
    <row r="716" ht="30.0" customHeight="1">
      <c r="A716" s="15"/>
      <c r="F716" s="16"/>
    </row>
    <row r="717" ht="30.0" customHeight="1">
      <c r="A717" s="15"/>
      <c r="F717" s="16"/>
    </row>
    <row r="718" ht="30.0" customHeight="1">
      <c r="A718" s="15"/>
      <c r="F718" s="16"/>
    </row>
    <row r="719" ht="30.0" customHeight="1">
      <c r="A719" s="15"/>
      <c r="F719" s="16"/>
    </row>
    <row r="720" ht="30.0" customHeight="1">
      <c r="A720" s="15"/>
      <c r="F720" s="16"/>
    </row>
    <row r="721" ht="30.0" customHeight="1">
      <c r="A721" s="15"/>
      <c r="F721" s="16"/>
    </row>
    <row r="722" ht="30.0" customHeight="1">
      <c r="A722" s="15"/>
      <c r="F722" s="16"/>
    </row>
    <row r="723" ht="30.0" customHeight="1">
      <c r="A723" s="15"/>
      <c r="F723" s="16"/>
    </row>
    <row r="724" ht="30.0" customHeight="1">
      <c r="A724" s="15"/>
      <c r="F724" s="16"/>
    </row>
    <row r="725" ht="30.0" customHeight="1">
      <c r="A725" s="15"/>
      <c r="F725" s="16"/>
    </row>
    <row r="726" ht="30.0" customHeight="1">
      <c r="A726" s="15"/>
      <c r="F726" s="16"/>
    </row>
    <row r="727" ht="30.0" customHeight="1">
      <c r="A727" s="15"/>
      <c r="F727" s="16"/>
    </row>
    <row r="728" ht="30.0" customHeight="1">
      <c r="A728" s="15"/>
      <c r="F728" s="16"/>
    </row>
    <row r="729" ht="30.0" customHeight="1">
      <c r="A729" s="15"/>
      <c r="F729" s="16"/>
    </row>
    <row r="730" ht="30.0" customHeight="1">
      <c r="A730" s="15"/>
      <c r="F730" s="16"/>
    </row>
    <row r="731" ht="30.0" customHeight="1">
      <c r="A731" s="15"/>
      <c r="F731" s="16"/>
    </row>
    <row r="732" ht="30.0" customHeight="1">
      <c r="A732" s="15"/>
      <c r="F732" s="16"/>
    </row>
    <row r="733" ht="30.0" customHeight="1">
      <c r="A733" s="15"/>
      <c r="F733" s="16"/>
    </row>
    <row r="734" ht="30.0" customHeight="1">
      <c r="A734" s="15"/>
      <c r="F734" s="16"/>
    </row>
    <row r="735" ht="30.0" customHeight="1">
      <c r="A735" s="15"/>
      <c r="F735" s="16"/>
    </row>
    <row r="736" ht="30.0" customHeight="1">
      <c r="A736" s="15"/>
      <c r="F736" s="16"/>
    </row>
    <row r="737" ht="30.0" customHeight="1">
      <c r="A737" s="15"/>
      <c r="F737" s="16"/>
    </row>
    <row r="738" ht="30.0" customHeight="1">
      <c r="A738" s="15"/>
      <c r="F738" s="16"/>
    </row>
    <row r="739" ht="30.0" customHeight="1">
      <c r="A739" s="15"/>
      <c r="F739" s="16"/>
    </row>
    <row r="740" ht="30.0" customHeight="1">
      <c r="A740" s="15"/>
      <c r="F740" s="16"/>
    </row>
    <row r="741" ht="30.0" customHeight="1">
      <c r="A741" s="15"/>
      <c r="F741" s="16"/>
    </row>
    <row r="742" ht="30.0" customHeight="1">
      <c r="A742" s="15"/>
      <c r="F742" s="16"/>
    </row>
    <row r="743" ht="30.0" customHeight="1">
      <c r="A743" s="15"/>
      <c r="F743" s="16"/>
    </row>
    <row r="744" ht="30.0" customHeight="1">
      <c r="A744" s="15"/>
      <c r="F744" s="16"/>
    </row>
    <row r="745" ht="30.0" customHeight="1">
      <c r="A745" s="15"/>
      <c r="F745" s="16"/>
    </row>
    <row r="746" ht="30.0" customHeight="1">
      <c r="A746" s="15"/>
      <c r="F746" s="16"/>
    </row>
    <row r="747" ht="30.0" customHeight="1">
      <c r="A747" s="15"/>
      <c r="F747" s="16"/>
    </row>
    <row r="748" ht="30.0" customHeight="1">
      <c r="A748" s="15"/>
      <c r="F748" s="16"/>
    </row>
    <row r="749" ht="30.0" customHeight="1">
      <c r="A749" s="15"/>
      <c r="F749" s="16"/>
    </row>
    <row r="750" ht="30.0" customHeight="1">
      <c r="A750" s="15"/>
      <c r="F750" s="16"/>
    </row>
    <row r="751" ht="30.0" customHeight="1">
      <c r="A751" s="15"/>
      <c r="F751" s="16"/>
    </row>
    <row r="752" ht="30.0" customHeight="1">
      <c r="A752" s="15"/>
      <c r="F752" s="16"/>
    </row>
    <row r="753" ht="30.0" customHeight="1">
      <c r="A753" s="15"/>
      <c r="F753" s="16"/>
    </row>
    <row r="754" ht="30.0" customHeight="1">
      <c r="A754" s="15"/>
      <c r="F754" s="16"/>
    </row>
    <row r="755" ht="30.0" customHeight="1">
      <c r="A755" s="15"/>
      <c r="F755" s="16"/>
    </row>
    <row r="756" ht="30.0" customHeight="1">
      <c r="A756" s="15"/>
      <c r="F756" s="16"/>
    </row>
    <row r="757" ht="30.0" customHeight="1">
      <c r="A757" s="15"/>
      <c r="F757" s="16"/>
    </row>
    <row r="758" ht="30.0" customHeight="1">
      <c r="A758" s="15"/>
      <c r="F758" s="16"/>
    </row>
    <row r="759" ht="30.0" customHeight="1">
      <c r="A759" s="15"/>
      <c r="F759" s="16"/>
    </row>
    <row r="760" ht="30.0" customHeight="1">
      <c r="A760" s="15"/>
      <c r="F760" s="16"/>
    </row>
    <row r="761" ht="30.0" customHeight="1">
      <c r="A761" s="15"/>
      <c r="F761" s="16"/>
    </row>
    <row r="762" ht="30.0" customHeight="1">
      <c r="A762" s="15"/>
      <c r="F762" s="16"/>
    </row>
    <row r="763" ht="30.0" customHeight="1">
      <c r="A763" s="15"/>
      <c r="F763" s="16"/>
    </row>
    <row r="764" ht="30.0" customHeight="1">
      <c r="A764" s="15"/>
      <c r="F764" s="16"/>
    </row>
    <row r="765" ht="30.0" customHeight="1">
      <c r="A765" s="15"/>
      <c r="F765" s="16"/>
    </row>
    <row r="766" ht="30.0" customHeight="1">
      <c r="A766" s="15"/>
      <c r="F766" s="16"/>
    </row>
    <row r="767" ht="30.0" customHeight="1">
      <c r="A767" s="15"/>
      <c r="F767" s="16"/>
    </row>
    <row r="768" ht="30.0" customHeight="1">
      <c r="A768" s="15"/>
      <c r="F768" s="16"/>
    </row>
    <row r="769" ht="30.0" customHeight="1">
      <c r="A769" s="15"/>
      <c r="F769" s="16"/>
    </row>
    <row r="770" ht="30.0" customHeight="1">
      <c r="A770" s="15"/>
      <c r="F770" s="16"/>
    </row>
    <row r="771" ht="30.0" customHeight="1">
      <c r="A771" s="15"/>
      <c r="F771" s="16"/>
    </row>
    <row r="772" ht="30.0" customHeight="1">
      <c r="A772" s="15"/>
      <c r="F772" s="16"/>
    </row>
    <row r="773" ht="30.0" customHeight="1">
      <c r="A773" s="15"/>
      <c r="F773" s="16"/>
    </row>
    <row r="774" ht="30.0" customHeight="1">
      <c r="A774" s="15"/>
      <c r="F774" s="16"/>
    </row>
    <row r="775" ht="30.0" customHeight="1">
      <c r="A775" s="15"/>
      <c r="F775" s="16"/>
    </row>
    <row r="776" ht="30.0" customHeight="1">
      <c r="A776" s="15"/>
      <c r="F776" s="16"/>
    </row>
    <row r="777" ht="30.0" customHeight="1">
      <c r="A777" s="15"/>
      <c r="F777" s="16"/>
    </row>
    <row r="778" ht="30.0" customHeight="1">
      <c r="A778" s="15"/>
      <c r="F778" s="16"/>
    </row>
    <row r="779" ht="30.0" customHeight="1">
      <c r="A779" s="15"/>
      <c r="F779" s="16"/>
    </row>
    <row r="780" ht="30.0" customHeight="1">
      <c r="A780" s="15"/>
      <c r="F780" s="16"/>
    </row>
    <row r="781" ht="30.0" customHeight="1">
      <c r="A781" s="15"/>
      <c r="F781" s="16"/>
    </row>
    <row r="782" ht="30.0" customHeight="1">
      <c r="A782" s="15"/>
      <c r="F782" s="16"/>
    </row>
    <row r="783" ht="30.0" customHeight="1">
      <c r="A783" s="15"/>
      <c r="F783" s="16"/>
    </row>
    <row r="784" ht="30.0" customHeight="1">
      <c r="A784" s="15"/>
      <c r="F784" s="16"/>
    </row>
    <row r="785" ht="30.0" customHeight="1">
      <c r="A785" s="15"/>
      <c r="F785" s="16"/>
    </row>
    <row r="786" ht="30.0" customHeight="1">
      <c r="A786" s="15"/>
      <c r="F786" s="16"/>
    </row>
    <row r="787" ht="30.0" customHeight="1">
      <c r="A787" s="15"/>
      <c r="F787" s="16"/>
    </row>
    <row r="788" ht="30.0" customHeight="1">
      <c r="A788" s="15"/>
      <c r="F788" s="16"/>
    </row>
    <row r="789" ht="30.0" customHeight="1">
      <c r="A789" s="15"/>
      <c r="F789" s="16"/>
    </row>
    <row r="790" ht="30.0" customHeight="1">
      <c r="A790" s="15"/>
      <c r="F790" s="16"/>
    </row>
    <row r="791" ht="30.0" customHeight="1">
      <c r="A791" s="15"/>
      <c r="F791" s="16"/>
    </row>
    <row r="792" ht="30.0" customHeight="1">
      <c r="A792" s="15"/>
      <c r="F792" s="16"/>
    </row>
    <row r="793" ht="30.0" customHeight="1">
      <c r="A793" s="15"/>
      <c r="F793" s="16"/>
    </row>
    <row r="794" ht="30.0" customHeight="1">
      <c r="A794" s="15"/>
      <c r="F794" s="16"/>
    </row>
    <row r="795" ht="30.0" customHeight="1">
      <c r="A795" s="15"/>
      <c r="F795" s="16"/>
    </row>
    <row r="796" ht="30.0" customHeight="1">
      <c r="A796" s="15"/>
      <c r="F796" s="16"/>
    </row>
    <row r="797" ht="30.0" customHeight="1">
      <c r="A797" s="15"/>
      <c r="F797" s="16"/>
    </row>
    <row r="798" ht="30.0" customHeight="1">
      <c r="A798" s="15"/>
      <c r="F798" s="16"/>
    </row>
    <row r="799" ht="30.0" customHeight="1">
      <c r="A799" s="15"/>
      <c r="F799" s="16"/>
    </row>
    <row r="800" ht="30.0" customHeight="1">
      <c r="A800" s="15"/>
      <c r="F800" s="16"/>
    </row>
    <row r="801" ht="30.0" customHeight="1">
      <c r="A801" s="15"/>
      <c r="F801" s="16"/>
    </row>
    <row r="802" ht="30.0" customHeight="1">
      <c r="A802" s="15"/>
      <c r="F802" s="16"/>
    </row>
    <row r="803" ht="30.0" customHeight="1">
      <c r="A803" s="15"/>
      <c r="F803" s="16"/>
    </row>
    <row r="804" ht="30.0" customHeight="1">
      <c r="A804" s="15"/>
      <c r="F804" s="16"/>
    </row>
    <row r="805" ht="30.0" customHeight="1">
      <c r="A805" s="15"/>
      <c r="F805" s="16"/>
    </row>
    <row r="806" ht="30.0" customHeight="1">
      <c r="A806" s="15"/>
      <c r="F806" s="16"/>
    </row>
    <row r="807" ht="30.0" customHeight="1">
      <c r="A807" s="15"/>
      <c r="F807" s="16"/>
    </row>
    <row r="808" ht="30.0" customHeight="1">
      <c r="A808" s="15"/>
      <c r="F808" s="16"/>
    </row>
    <row r="809" ht="30.0" customHeight="1">
      <c r="A809" s="15"/>
      <c r="F809" s="16"/>
    </row>
    <row r="810" ht="30.0" customHeight="1">
      <c r="A810" s="15"/>
      <c r="F810" s="16"/>
    </row>
    <row r="811" ht="30.0" customHeight="1">
      <c r="A811" s="15"/>
      <c r="F811" s="16"/>
    </row>
    <row r="812" ht="30.0" customHeight="1">
      <c r="A812" s="15"/>
      <c r="F812" s="16"/>
    </row>
    <row r="813" ht="30.0" customHeight="1">
      <c r="A813" s="15"/>
      <c r="F813" s="16"/>
    </row>
    <row r="814" ht="30.0" customHeight="1">
      <c r="A814" s="15"/>
      <c r="F814" s="16"/>
    </row>
    <row r="815" ht="30.0" customHeight="1">
      <c r="A815" s="15"/>
      <c r="F815" s="16"/>
    </row>
    <row r="816" ht="30.0" customHeight="1">
      <c r="A816" s="15"/>
      <c r="F816" s="16"/>
    </row>
    <row r="817" ht="30.0" customHeight="1">
      <c r="A817" s="15"/>
      <c r="F817" s="16"/>
    </row>
    <row r="818" ht="30.0" customHeight="1">
      <c r="A818" s="15"/>
      <c r="F818" s="16"/>
    </row>
    <row r="819" ht="30.0" customHeight="1">
      <c r="A819" s="15"/>
      <c r="F819" s="16"/>
    </row>
    <row r="820" ht="30.0" customHeight="1">
      <c r="A820" s="15"/>
      <c r="F820" s="16"/>
    </row>
    <row r="821" ht="30.0" customHeight="1">
      <c r="A821" s="15"/>
      <c r="F821" s="16"/>
    </row>
    <row r="822" ht="30.0" customHeight="1">
      <c r="A822" s="15"/>
      <c r="F822" s="16"/>
    </row>
    <row r="823" ht="30.0" customHeight="1">
      <c r="A823" s="15"/>
      <c r="F823" s="16"/>
    </row>
    <row r="824" ht="30.0" customHeight="1">
      <c r="A824" s="15"/>
      <c r="F824" s="16"/>
    </row>
    <row r="825" ht="30.0" customHeight="1">
      <c r="A825" s="15"/>
      <c r="F825" s="16"/>
    </row>
    <row r="826" ht="30.0" customHeight="1">
      <c r="A826" s="15"/>
      <c r="F826" s="16"/>
    </row>
    <row r="827" ht="30.0" customHeight="1">
      <c r="A827" s="15"/>
      <c r="F827" s="16"/>
    </row>
    <row r="828" ht="30.0" customHeight="1">
      <c r="A828" s="15"/>
      <c r="F828" s="16"/>
    </row>
    <row r="829" ht="30.0" customHeight="1">
      <c r="A829" s="15"/>
      <c r="F829" s="16"/>
    </row>
    <row r="830" ht="30.0" customHeight="1">
      <c r="A830" s="15"/>
      <c r="F830" s="16"/>
    </row>
    <row r="831" ht="30.0" customHeight="1">
      <c r="A831" s="15"/>
      <c r="F831" s="16"/>
    </row>
    <row r="832" ht="30.0" customHeight="1">
      <c r="A832" s="15"/>
      <c r="F832" s="16"/>
    </row>
    <row r="833" ht="30.0" customHeight="1">
      <c r="A833" s="15"/>
      <c r="F833" s="16"/>
    </row>
    <row r="834" ht="30.0" customHeight="1">
      <c r="A834" s="15"/>
      <c r="F834" s="16"/>
    </row>
    <row r="835" ht="30.0" customHeight="1">
      <c r="A835" s="15"/>
      <c r="F835" s="16"/>
    </row>
    <row r="836" ht="30.0" customHeight="1">
      <c r="A836" s="15"/>
      <c r="F836" s="16"/>
    </row>
    <row r="837" ht="30.0" customHeight="1">
      <c r="A837" s="15"/>
      <c r="F837" s="16"/>
    </row>
    <row r="838" ht="30.0" customHeight="1">
      <c r="A838" s="15"/>
      <c r="F838" s="16"/>
    </row>
    <row r="839" ht="30.0" customHeight="1">
      <c r="A839" s="15"/>
      <c r="F839" s="16"/>
    </row>
    <row r="840" ht="30.0" customHeight="1">
      <c r="A840" s="15"/>
      <c r="F840" s="16"/>
    </row>
    <row r="841" ht="30.0" customHeight="1">
      <c r="A841" s="15"/>
      <c r="F841" s="16"/>
    </row>
    <row r="842" ht="30.0" customHeight="1">
      <c r="A842" s="15"/>
      <c r="F842" s="16"/>
    </row>
    <row r="843" ht="30.0" customHeight="1">
      <c r="A843" s="15"/>
      <c r="F843" s="16"/>
    </row>
    <row r="844" ht="30.0" customHeight="1">
      <c r="A844" s="15"/>
      <c r="F844" s="16"/>
    </row>
    <row r="845" ht="30.0" customHeight="1">
      <c r="A845" s="15"/>
      <c r="F845" s="16"/>
    </row>
    <row r="846" ht="30.0" customHeight="1">
      <c r="A846" s="15"/>
      <c r="F846" s="16"/>
    </row>
    <row r="847" ht="30.0" customHeight="1">
      <c r="A847" s="15"/>
      <c r="F847" s="16"/>
    </row>
    <row r="848" ht="30.0" customHeight="1">
      <c r="A848" s="15"/>
      <c r="F848" s="16"/>
    </row>
    <row r="849" ht="30.0" customHeight="1">
      <c r="A849" s="15"/>
      <c r="F849" s="16"/>
    </row>
    <row r="850" ht="30.0" customHeight="1">
      <c r="A850" s="15"/>
      <c r="F850" s="16"/>
    </row>
    <row r="851" ht="30.0" customHeight="1">
      <c r="A851" s="15"/>
      <c r="F851" s="16"/>
    </row>
    <row r="852" ht="30.0" customHeight="1">
      <c r="A852" s="15"/>
      <c r="F852" s="16"/>
    </row>
    <row r="853" ht="30.0" customHeight="1">
      <c r="A853" s="15"/>
      <c r="F853" s="16"/>
    </row>
    <row r="854" ht="30.0" customHeight="1">
      <c r="A854" s="15"/>
      <c r="F854" s="16"/>
    </row>
    <row r="855" ht="30.0" customHeight="1">
      <c r="A855" s="15"/>
      <c r="F855" s="16"/>
    </row>
    <row r="856" ht="30.0" customHeight="1">
      <c r="A856" s="15"/>
      <c r="F856" s="16"/>
    </row>
    <row r="857" ht="30.0" customHeight="1">
      <c r="A857" s="15"/>
      <c r="F857" s="16"/>
    </row>
    <row r="858" ht="30.0" customHeight="1">
      <c r="A858" s="15"/>
      <c r="F858" s="16"/>
    </row>
    <row r="859" ht="30.0" customHeight="1">
      <c r="A859" s="15"/>
      <c r="F859" s="16"/>
    </row>
    <row r="860" ht="30.0" customHeight="1">
      <c r="A860" s="15"/>
      <c r="F860" s="16"/>
    </row>
    <row r="861" ht="30.0" customHeight="1">
      <c r="A861" s="15"/>
      <c r="F861" s="16"/>
    </row>
    <row r="862" ht="30.0" customHeight="1">
      <c r="A862" s="15"/>
      <c r="F862" s="16"/>
    </row>
    <row r="863" ht="30.0" customHeight="1">
      <c r="A863" s="15"/>
      <c r="F863" s="16"/>
    </row>
    <row r="864" ht="30.0" customHeight="1">
      <c r="A864" s="15"/>
      <c r="F864" s="16"/>
    </row>
    <row r="865" ht="30.0" customHeight="1">
      <c r="A865" s="15"/>
      <c r="F865" s="16"/>
    </row>
    <row r="866" ht="30.0" customHeight="1">
      <c r="A866" s="15"/>
      <c r="F866" s="16"/>
    </row>
    <row r="867" ht="30.0" customHeight="1">
      <c r="A867" s="15"/>
      <c r="F867" s="16"/>
    </row>
    <row r="868" ht="30.0" customHeight="1">
      <c r="A868" s="15"/>
      <c r="F868" s="16"/>
    </row>
    <row r="869" ht="30.0" customHeight="1">
      <c r="A869" s="15"/>
      <c r="F869" s="16"/>
    </row>
    <row r="870" ht="30.0" customHeight="1">
      <c r="A870" s="15"/>
      <c r="F870" s="16"/>
    </row>
    <row r="871" ht="30.0" customHeight="1">
      <c r="A871" s="15"/>
      <c r="F871" s="16"/>
    </row>
    <row r="872" ht="30.0" customHeight="1">
      <c r="A872" s="15"/>
      <c r="F872" s="16"/>
    </row>
    <row r="873" ht="30.0" customHeight="1">
      <c r="A873" s="15"/>
      <c r="F873" s="16"/>
    </row>
    <row r="874" ht="30.0" customHeight="1">
      <c r="A874" s="15"/>
      <c r="F874" s="16"/>
    </row>
    <row r="875" ht="30.0" customHeight="1">
      <c r="A875" s="15"/>
      <c r="F875" s="16"/>
    </row>
    <row r="876" ht="30.0" customHeight="1">
      <c r="A876" s="15"/>
      <c r="F876" s="16"/>
    </row>
    <row r="877" ht="30.0" customHeight="1">
      <c r="A877" s="15"/>
      <c r="F877" s="16"/>
    </row>
    <row r="878" ht="30.0" customHeight="1">
      <c r="A878" s="15"/>
      <c r="F878" s="16"/>
    </row>
    <row r="879" ht="30.0" customHeight="1">
      <c r="A879" s="15"/>
      <c r="F879" s="16"/>
    </row>
    <row r="880" ht="30.0" customHeight="1">
      <c r="A880" s="15"/>
      <c r="F880" s="16"/>
    </row>
    <row r="881" ht="30.0" customHeight="1">
      <c r="A881" s="15"/>
      <c r="F881" s="16"/>
    </row>
    <row r="882" ht="30.0" customHeight="1">
      <c r="A882" s="15"/>
      <c r="F882" s="16"/>
    </row>
    <row r="883" ht="30.0" customHeight="1">
      <c r="A883" s="15"/>
      <c r="F883" s="16"/>
    </row>
    <row r="884" ht="30.0" customHeight="1">
      <c r="A884" s="15"/>
      <c r="F884" s="16"/>
    </row>
    <row r="885" ht="30.0" customHeight="1">
      <c r="A885" s="15"/>
      <c r="F885" s="16"/>
    </row>
    <row r="886" ht="30.0" customHeight="1">
      <c r="A886" s="15"/>
      <c r="F886" s="16"/>
    </row>
    <row r="887" ht="30.0" customHeight="1">
      <c r="A887" s="15"/>
      <c r="F887" s="16"/>
    </row>
    <row r="888" ht="30.0" customHeight="1">
      <c r="A888" s="15"/>
      <c r="F888" s="16"/>
    </row>
    <row r="889" ht="30.0" customHeight="1">
      <c r="A889" s="15"/>
      <c r="F889" s="16"/>
    </row>
    <row r="890" ht="30.0" customHeight="1">
      <c r="A890" s="15"/>
      <c r="F890" s="16"/>
    </row>
    <row r="891" ht="30.0" customHeight="1">
      <c r="A891" s="15"/>
      <c r="F891" s="16"/>
    </row>
    <row r="892" ht="30.0" customHeight="1">
      <c r="A892" s="15"/>
      <c r="F892" s="16"/>
    </row>
    <row r="893" ht="30.0" customHeight="1">
      <c r="A893" s="15"/>
      <c r="F893" s="16"/>
    </row>
    <row r="894" ht="30.0" customHeight="1">
      <c r="A894" s="15"/>
      <c r="F894" s="16"/>
    </row>
    <row r="895" ht="30.0" customHeight="1">
      <c r="A895" s="15"/>
      <c r="F895" s="16"/>
    </row>
    <row r="896" ht="30.0" customHeight="1">
      <c r="A896" s="15"/>
      <c r="F896" s="16"/>
    </row>
    <row r="897" ht="30.0" customHeight="1">
      <c r="A897" s="15"/>
      <c r="F897" s="16"/>
    </row>
    <row r="898" ht="30.0" customHeight="1">
      <c r="A898" s="15"/>
      <c r="F898" s="16"/>
    </row>
    <row r="899" ht="30.0" customHeight="1">
      <c r="A899" s="15"/>
      <c r="F899" s="16"/>
    </row>
    <row r="900" ht="30.0" customHeight="1">
      <c r="A900" s="15"/>
      <c r="F900" s="16"/>
    </row>
    <row r="901" ht="30.0" customHeight="1">
      <c r="A901" s="15"/>
      <c r="F901" s="16"/>
    </row>
    <row r="902" ht="30.0" customHeight="1">
      <c r="A902" s="15"/>
      <c r="F902" s="16"/>
    </row>
    <row r="903" ht="30.0" customHeight="1">
      <c r="A903" s="15"/>
      <c r="F903" s="16"/>
    </row>
    <row r="904" ht="30.0" customHeight="1">
      <c r="A904" s="15"/>
      <c r="F904" s="16"/>
    </row>
    <row r="905" ht="30.0" customHeight="1">
      <c r="A905" s="15"/>
      <c r="F905" s="16"/>
    </row>
    <row r="906" ht="30.0" customHeight="1">
      <c r="A906" s="15"/>
      <c r="F906" s="16"/>
    </row>
    <row r="907" ht="30.0" customHeight="1">
      <c r="A907" s="15"/>
      <c r="F907" s="16"/>
    </row>
    <row r="908" ht="30.0" customHeight="1">
      <c r="A908" s="15"/>
      <c r="F908" s="16"/>
    </row>
    <row r="909" ht="30.0" customHeight="1">
      <c r="A909" s="15"/>
      <c r="F909" s="16"/>
    </row>
    <row r="910" ht="30.0" customHeight="1">
      <c r="A910" s="15"/>
      <c r="F910" s="16"/>
    </row>
    <row r="911" ht="30.0" customHeight="1">
      <c r="A911" s="15"/>
      <c r="F911" s="16"/>
    </row>
    <row r="912" ht="30.0" customHeight="1">
      <c r="A912" s="15"/>
      <c r="F912" s="16"/>
    </row>
    <row r="913" ht="30.0" customHeight="1">
      <c r="A913" s="15"/>
      <c r="F913" s="16"/>
    </row>
    <row r="914" ht="30.0" customHeight="1">
      <c r="A914" s="15"/>
      <c r="F914" s="16"/>
    </row>
    <row r="915" ht="30.0" customHeight="1">
      <c r="A915" s="15"/>
      <c r="F915" s="16"/>
    </row>
    <row r="916" ht="30.0" customHeight="1">
      <c r="A916" s="15"/>
      <c r="F916" s="16"/>
    </row>
    <row r="917" ht="30.0" customHeight="1">
      <c r="A917" s="15"/>
      <c r="F917" s="16"/>
    </row>
    <row r="918" ht="30.0" customHeight="1">
      <c r="A918" s="15"/>
      <c r="F918" s="16"/>
    </row>
    <row r="919" ht="30.0" customHeight="1">
      <c r="A919" s="15"/>
      <c r="F919" s="16"/>
    </row>
    <row r="920" ht="30.0" customHeight="1">
      <c r="A920" s="15"/>
      <c r="F920" s="16"/>
    </row>
    <row r="921" ht="30.0" customHeight="1">
      <c r="A921" s="15"/>
      <c r="F921" s="16"/>
    </row>
    <row r="922" ht="30.0" customHeight="1">
      <c r="A922" s="15"/>
      <c r="F922" s="16"/>
    </row>
    <row r="923" ht="30.0" customHeight="1">
      <c r="A923" s="15"/>
      <c r="F923" s="16"/>
    </row>
    <row r="924" ht="30.0" customHeight="1">
      <c r="A924" s="15"/>
      <c r="F924" s="16"/>
    </row>
    <row r="925" ht="30.0" customHeight="1">
      <c r="A925" s="15"/>
      <c r="F925" s="16"/>
    </row>
    <row r="926" ht="30.0" customHeight="1">
      <c r="A926" s="15"/>
      <c r="F926" s="16"/>
    </row>
    <row r="927" ht="30.0" customHeight="1">
      <c r="A927" s="15"/>
      <c r="F927" s="16"/>
    </row>
    <row r="928" ht="30.0" customHeight="1">
      <c r="A928" s="15"/>
      <c r="F928" s="16"/>
    </row>
    <row r="929" ht="30.0" customHeight="1">
      <c r="A929" s="15"/>
      <c r="F929" s="16"/>
    </row>
    <row r="930" ht="30.0" customHeight="1">
      <c r="A930" s="15"/>
      <c r="F930" s="16"/>
    </row>
    <row r="931" ht="30.0" customHeight="1">
      <c r="A931" s="15"/>
      <c r="F931" s="16"/>
    </row>
    <row r="932" ht="30.0" customHeight="1">
      <c r="A932" s="15"/>
      <c r="F932" s="16"/>
    </row>
    <row r="933" ht="30.0" customHeight="1">
      <c r="A933" s="15"/>
      <c r="F933" s="16"/>
    </row>
    <row r="934" ht="30.0" customHeight="1">
      <c r="A934" s="15"/>
      <c r="F934" s="16"/>
    </row>
    <row r="935" ht="30.0" customHeight="1">
      <c r="A935" s="15"/>
      <c r="F935" s="16"/>
    </row>
    <row r="936" ht="30.0" customHeight="1">
      <c r="A936" s="15"/>
      <c r="F936" s="16"/>
    </row>
    <row r="937" ht="30.0" customHeight="1">
      <c r="A937" s="15"/>
      <c r="F937" s="16"/>
    </row>
    <row r="938" ht="30.0" customHeight="1">
      <c r="A938" s="15"/>
      <c r="F938" s="16"/>
    </row>
    <row r="939" ht="30.0" customHeight="1">
      <c r="A939" s="15"/>
      <c r="F939" s="16"/>
    </row>
    <row r="940" ht="30.0" customHeight="1">
      <c r="A940" s="15"/>
      <c r="F940" s="16"/>
    </row>
    <row r="941" ht="30.0" customHeight="1">
      <c r="A941" s="15"/>
      <c r="F941" s="16"/>
    </row>
    <row r="942" ht="30.0" customHeight="1">
      <c r="A942" s="15"/>
      <c r="F942" s="16"/>
    </row>
    <row r="943" ht="30.0" customHeight="1">
      <c r="A943" s="15"/>
      <c r="F943" s="16"/>
    </row>
    <row r="944" ht="30.0" customHeight="1">
      <c r="A944" s="15"/>
      <c r="F944" s="16"/>
    </row>
    <row r="945" ht="30.0" customHeight="1">
      <c r="A945" s="15"/>
      <c r="F945" s="16"/>
    </row>
    <row r="946" ht="30.0" customHeight="1">
      <c r="A946" s="15"/>
      <c r="F946" s="16"/>
    </row>
    <row r="947" ht="30.0" customHeight="1">
      <c r="A947" s="15"/>
      <c r="F947" s="16"/>
    </row>
    <row r="948" ht="30.0" customHeight="1">
      <c r="A948" s="15"/>
      <c r="F948" s="16"/>
    </row>
    <row r="949" ht="30.0" customHeight="1">
      <c r="A949" s="15"/>
      <c r="F949" s="16"/>
    </row>
    <row r="950" ht="30.0" customHeight="1">
      <c r="A950" s="15"/>
      <c r="F950" s="16"/>
    </row>
    <row r="951" ht="30.0" customHeight="1">
      <c r="A951" s="15"/>
      <c r="F951" s="16"/>
    </row>
    <row r="952" ht="30.0" customHeight="1">
      <c r="A952" s="15"/>
      <c r="F952" s="16"/>
    </row>
    <row r="953" ht="30.0" customHeight="1">
      <c r="A953" s="15"/>
      <c r="F953" s="16"/>
    </row>
    <row r="954" ht="30.0" customHeight="1">
      <c r="A954" s="15"/>
      <c r="F954" s="16"/>
    </row>
    <row r="955" ht="30.0" customHeight="1">
      <c r="A955" s="15"/>
      <c r="F955" s="16"/>
    </row>
    <row r="956" ht="30.0" customHeight="1">
      <c r="A956" s="15"/>
      <c r="F956" s="16"/>
    </row>
    <row r="957" ht="30.0" customHeight="1">
      <c r="A957" s="15"/>
      <c r="F957" s="16"/>
    </row>
    <row r="958" ht="30.0" customHeight="1">
      <c r="A958" s="15"/>
      <c r="F958" s="16"/>
    </row>
    <row r="959" ht="30.0" customHeight="1">
      <c r="A959" s="15"/>
      <c r="F959" s="16"/>
    </row>
    <row r="960" ht="30.0" customHeight="1">
      <c r="A960" s="15"/>
      <c r="F960" s="16"/>
    </row>
    <row r="961" ht="30.0" customHeight="1">
      <c r="A961" s="15"/>
      <c r="F961" s="16"/>
    </row>
    <row r="962" ht="30.0" customHeight="1">
      <c r="A962" s="15"/>
      <c r="F962" s="16"/>
    </row>
    <row r="963" ht="30.0" customHeight="1">
      <c r="A963" s="15"/>
      <c r="F963" s="16"/>
    </row>
    <row r="964" ht="30.0" customHeight="1">
      <c r="A964" s="15"/>
      <c r="F964" s="16"/>
    </row>
    <row r="965" ht="30.0" customHeight="1">
      <c r="A965" s="15"/>
      <c r="F965" s="16"/>
    </row>
    <row r="966" ht="30.0" customHeight="1">
      <c r="A966" s="15"/>
      <c r="F966" s="16"/>
    </row>
    <row r="967" ht="30.0" customHeight="1">
      <c r="A967" s="15"/>
      <c r="F967" s="16"/>
    </row>
    <row r="968" ht="30.0" customHeight="1">
      <c r="A968" s="15"/>
      <c r="F968" s="16"/>
    </row>
    <row r="969" ht="30.0" customHeight="1">
      <c r="A969" s="15"/>
      <c r="F969" s="16"/>
    </row>
    <row r="970" ht="30.0" customHeight="1">
      <c r="A970" s="15"/>
      <c r="F970" s="16"/>
    </row>
    <row r="971" ht="30.0" customHeight="1">
      <c r="A971" s="15"/>
      <c r="F971" s="16"/>
    </row>
    <row r="972" ht="30.0" customHeight="1">
      <c r="A972" s="15"/>
      <c r="F972" s="16"/>
    </row>
    <row r="973" ht="30.0" customHeight="1">
      <c r="A973" s="15"/>
      <c r="F973" s="16"/>
    </row>
    <row r="974" ht="30.0" customHeight="1">
      <c r="A974" s="15"/>
      <c r="F974" s="16"/>
    </row>
    <row r="975" ht="30.0" customHeight="1">
      <c r="A975" s="15"/>
      <c r="F975" s="16"/>
    </row>
    <row r="976" ht="30.0" customHeight="1">
      <c r="A976" s="15"/>
      <c r="F976" s="16"/>
    </row>
    <row r="977" ht="30.0" customHeight="1">
      <c r="A977" s="15"/>
      <c r="F977" s="16"/>
    </row>
    <row r="978" ht="30.0" customHeight="1">
      <c r="A978" s="15"/>
      <c r="F978" s="16"/>
    </row>
    <row r="979" ht="30.0" customHeight="1">
      <c r="A979" s="15"/>
      <c r="F979" s="16"/>
    </row>
    <row r="980" ht="30.0" customHeight="1">
      <c r="A980" s="15"/>
      <c r="F980" s="16"/>
    </row>
    <row r="981" ht="30.0" customHeight="1">
      <c r="A981" s="15"/>
      <c r="F981" s="16"/>
    </row>
    <row r="982" ht="30.0" customHeight="1">
      <c r="A982" s="15"/>
      <c r="F982" s="16"/>
    </row>
    <row r="983" ht="30.0" customHeight="1">
      <c r="A983" s="15"/>
      <c r="F983" s="16"/>
    </row>
    <row r="984" ht="30.0" customHeight="1">
      <c r="A984" s="15"/>
      <c r="F984" s="16"/>
    </row>
    <row r="985" ht="30.0" customHeight="1">
      <c r="A985" s="15"/>
      <c r="F985" s="16"/>
    </row>
    <row r="986" ht="30.0" customHeight="1">
      <c r="A986" s="15"/>
      <c r="F986" s="16"/>
    </row>
    <row r="987" ht="30.0" customHeight="1">
      <c r="A987" s="15"/>
      <c r="F987" s="16"/>
    </row>
    <row r="988" ht="30.0" customHeight="1">
      <c r="A988" s="15"/>
      <c r="F988" s="16"/>
    </row>
    <row r="989" ht="30.0" customHeight="1">
      <c r="A989" s="15"/>
      <c r="F989" s="16"/>
    </row>
    <row r="990" ht="30.0" customHeight="1">
      <c r="A990" s="15"/>
      <c r="F990" s="16"/>
    </row>
    <row r="991" ht="30.0" customHeight="1">
      <c r="A991" s="15"/>
      <c r="F991" s="16"/>
    </row>
    <row r="992" ht="30.0" customHeight="1">
      <c r="A992" s="15"/>
      <c r="F992" s="16"/>
    </row>
    <row r="993" ht="30.0" customHeight="1">
      <c r="A993" s="15"/>
      <c r="F993" s="16"/>
    </row>
    <row r="994" ht="30.0" customHeight="1">
      <c r="A994" s="15"/>
      <c r="F994" s="16"/>
    </row>
    <row r="995" ht="30.0" customHeight="1">
      <c r="A995" s="15"/>
      <c r="F995" s="16"/>
    </row>
    <row r="996" ht="30.0" customHeight="1">
      <c r="A996" s="15"/>
      <c r="F996" s="16"/>
    </row>
    <row r="997" ht="30.0" customHeight="1">
      <c r="A997" s="15"/>
      <c r="F997" s="16"/>
    </row>
    <row r="998" ht="30.0" customHeight="1">
      <c r="A998" s="15"/>
      <c r="F998" s="16"/>
    </row>
    <row r="999" ht="30.0" customHeight="1">
      <c r="A999" s="15"/>
      <c r="F999" s="16"/>
    </row>
    <row r="1000" ht="30.0" customHeight="1">
      <c r="A1000" s="15"/>
      <c r="F1000" s="16"/>
    </row>
  </sheetData>
  <mergeCells count="8">
    <mergeCell ref="B2:H2"/>
    <mergeCell ref="I2:N2"/>
    <mergeCell ref="O2:T2"/>
    <mergeCell ref="I4:L4"/>
    <mergeCell ref="N4:Q4"/>
    <mergeCell ref="S4:V4"/>
    <mergeCell ref="X4:AA4"/>
    <mergeCell ref="AC4:AF4"/>
  </mergeCells>
  <conditionalFormatting sqref="I7:BL36">
    <cfRule type="expression" dxfId="0" priority="1">
      <formula>AND(TODAY()&gt;=I$7,TODAY()&lt;J$7)</formula>
    </cfRule>
  </conditionalFormatting>
  <conditionalFormatting sqref="I6:BL6">
    <cfRule type="expression" dxfId="1" priority="2">
      <formula>AND(I$7&lt;=EOMONTH($I$7,1),I$7&gt;EOMONTH($I$7,0))</formula>
    </cfRule>
  </conditionalFormatting>
  <conditionalFormatting sqref="J6:BL6">
    <cfRule type="expression" dxfId="2" priority="3">
      <formula>AND(J$7&lt;=EOMONTH($I$7,2),J$7&gt;EOMONTH($I$7,0),J$7&gt;EOMONTH($I$7,1))</formula>
    </cfRule>
  </conditionalFormatting>
  <conditionalFormatting sqref="I6:AM6">
    <cfRule type="expression" dxfId="2" priority="4">
      <formula>I$7&lt;=EOMONTH($I$7,0)</formula>
    </cfRule>
  </conditionalFormatting>
  <conditionalFormatting sqref="I10:BL35">
    <cfRule type="expression" dxfId="3" priority="5">
      <formula>AND($C10="Risco Baixo",I$7&gt;=$F10,I$7&lt;=$F10+$G10-1)</formula>
    </cfRule>
  </conditionalFormatting>
  <conditionalFormatting sqref="I10:BL35">
    <cfRule type="expression" dxfId="4" priority="6">
      <formula>AND($C10="Risco Elevado",I$7&gt;=$F10,I$7&lt;=$F10+$G10-1)</formula>
    </cfRule>
  </conditionalFormatting>
  <conditionalFormatting sqref="I10:BL35">
    <cfRule type="expression" dxfId="5" priority="7">
      <formula>AND($C10="Dentro do prazo",I$7&gt;=$F10,I$7&lt;=$F10+$G10-1)</formula>
    </cfRule>
  </conditionalFormatting>
  <conditionalFormatting sqref="I10:BL35">
    <cfRule type="expression" dxfId="6" priority="8">
      <formula>AND($C10="Risco Médio",I$7&gt;=$F10,I$7&lt;=$F10+$G10-1)</formula>
    </cfRule>
  </conditionalFormatting>
  <conditionalFormatting sqref="I10:BL35">
    <cfRule type="expression" dxfId="7" priority="9">
      <formula>AND(LEN($C10)=0,I$7&gt;=$F10,I$7&lt;=$F10+$G10-1)</formula>
    </cfRule>
  </conditionalFormatting>
  <dataValidations>
    <dataValidation type="decimal" operator="greaterThanOrEqual" allowBlank="1" showInputMessage="1" prompt="Incremento de rolagem - A alteração deste número irá percorrer a vista do Mapa de Gantt." sqref="C7">
      <formula1>0.0</formula1>
    </dataValidation>
    <dataValidation type="list" allowBlank="1" showErrorMessage="1" sqref="C10 C12:C35">
      <formula1>"Objetivo,Marco,Dentro do prazo,Risco Baixo,Risco Médio,Risco Elevado"</formula1>
    </dataValidation>
    <dataValidation type="list" allowBlank="1" sqref="C11">
      <formula1>"Objetivo,Marco,Dentro do prazo,Risco Baixo,Risco Médio,Risco Elevado"</formula1>
    </dataValidation>
  </dataValidations>
  <printOptions/>
  <pageMargins bottom="0.5" footer="0.0" header="0.0" left="0.5" right="0.5" top="0.5"/>
  <pageSetup paperSize="9" orientation="portrait"/>
  <drawing r:id="rId1"/>
</worksheet>
</file>